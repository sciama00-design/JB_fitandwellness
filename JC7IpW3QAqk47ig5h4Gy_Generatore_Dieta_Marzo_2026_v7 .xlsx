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🔥 Calcolatore" sheetId="1" r:id="rId5"/>
    <sheet state="visible" name="📅 Piano Settimanale" sheetId="2" r:id="rId6"/>
    <sheet state="visible" name="📚 Guida Completa" sheetId="3" r:id="rId7"/>
    <sheet state="visible" name="🍽️ Dieta 4 Pasti" sheetId="4" r:id="rId8"/>
    <sheet state="visible" name="🍽️ Dieta 3 Pasti" sheetId="5" r:id="rId9"/>
    <sheet state="visible" name="⏱ Digiuno 16-8" sheetId="6" r:id="rId10"/>
  </sheets>
  <definedNames/>
  <calcPr/>
</workbook>
</file>

<file path=xl/sharedStrings.xml><?xml version="1.0" encoding="utf-8"?>
<sst xmlns="http://schemas.openxmlformats.org/spreadsheetml/2006/main" count="322" uniqueCount="210">
  <si>
    <t>CALCOLATORE CALORICO PERSONALIZZATO</t>
  </si>
  <si>
    <t>Edoardo Baldini · TDEE · Deficit intelligente selezionabile</t>
  </si>
  <si>
    <t>DATI PERSONALI</t>
  </si>
  <si>
    <t>I TUOI RISULTATI</t>
  </si>
  <si>
    <t>Peso corporeo</t>
  </si>
  <si>
    <t>kg</t>
  </si>
  <si>
    <t>Metabolismo Basale (BMR)</t>
  </si>
  <si>
    <t>Altezza</t>
  </si>
  <si>
    <t>cm</t>
  </si>
  <si>
    <t>Fabbisogno Totale (TDEE)</t>
  </si>
  <si>
    <t xml:space="preserve">Questo strumento fornisce stime basate su formule validate scientificamente, ma non sostituisce il parere di medico, nutrizionista o dietista. </t>
  </si>
  <si>
    <t>Età</t>
  </si>
  <si>
    <t>anni</t>
  </si>
  <si>
    <t>Prima di iniziare qualsiasi regime dietetico, specialmente in presenza di patologie, consulta un professionista della salute.</t>
  </si>
  <si>
    <t>Sesso (M / F)</t>
  </si>
  <si>
    <t>F</t>
  </si>
  <si>
    <t>Deficit calorico</t>
  </si>
  <si>
    <t>500 – RICOMPOSIZIONE CORPOREA</t>
  </si>
  <si>
    <t>kcal</t>
  </si>
  <si>
    <t>MACRONUTRIENTI CONSIGLIATI</t>
  </si>
  <si>
    <t>LIVELLO DI ATTIVITÀ FISICA</t>
  </si>
  <si>
    <t>Proteine  (2g × kg)</t>
  </si>
  <si>
    <t>Seleziona moltiplicatore →</t>
  </si>
  <si>
    <t>Grassi  (25% kcal)</t>
  </si>
  <si>
    <t>Sedentario – poco o nessun esercizio</t>
  </si>
  <si>
    <t>Carboidrati  (resto)</t>
  </si>
  <si>
    <t>Leggermente attivo – 1-3 gg/settimana</t>
  </si>
  <si>
    <t>Moderatamente attivo – 3-5 gg/settimana</t>
  </si>
  <si>
    <t>BMI – INDICE DI MASSA CORPOREA</t>
  </si>
  <si>
    <t>Molto attivo – 6-7 gg/settimana</t>
  </si>
  <si>
    <t>Valore BMI</t>
  </si>
  <si>
    <t>Estremamente attivo – lavoro fisico intenso</t>
  </si>
  <si>
    <t>800 – DEFINIZIONE</t>
  </si>
  <si>
    <t>PIANO SETTIMANALE &amp; MONITORAGGIO PESO</t>
  </si>
  <si>
    <t>Giorno</t>
  </si>
  <si>
    <t>Peso kg</t>
  </si>
  <si>
    <t>Kcal Mangiate</t>
  </si>
  <si>
    <t>Attività</t>
  </si>
  <si>
    <t>Sonno h</t>
  </si>
  <si>
    <t>Acqua L</t>
  </si>
  <si>
    <t>Note</t>
  </si>
  <si>
    <t>Lunedì</t>
  </si>
  <si>
    <t>Martedì</t>
  </si>
  <si>
    <t>Mercoledì</t>
  </si>
  <si>
    <t>Giovedì</t>
  </si>
  <si>
    <t>Venerdì</t>
  </si>
  <si>
    <t>Sabato</t>
  </si>
  <si>
    <t>Domenica</t>
  </si>
  <si>
    <t>MEDIA SETTIMANA</t>
  </si>
  <si>
    <t>📊 CONFRONTO SETTIMANALE — ANDAMENTO NEL TEMPO</t>
  </si>
  <si>
    <t>Inserisci la media settimanale · Confronta peso, kcal, sonno e acqua settimana per settimana</t>
  </si>
  <si>
    <t>Settimana</t>
  </si>
  <si>
    <t>Data inizio</t>
  </si>
  <si>
    <t>Peso medio
(kg)</t>
  </si>
  <si>
    <t>Kcal medie
/giorno</t>
  </si>
  <si>
    <t>Attività
(gg/sett)</t>
  </si>
  <si>
    <t>Sonno
(h)</t>
  </si>
  <si>
    <t>Acqua
(L)</t>
  </si>
  <si>
    <t>Settimana 1</t>
  </si>
  <si>
    <t>Settimana 2</t>
  </si>
  <si>
    <t>Settimana 3</t>
  </si>
  <si>
    <t>Settimana 4</t>
  </si>
  <si>
    <t>Settimana 5</t>
  </si>
  <si>
    <t>Settimana 6</t>
  </si>
  <si>
    <t>Settimana 7</t>
  </si>
  <si>
    <t>Settimana 8</t>
  </si>
  <si>
    <t>△ VARIAZIONE  Sett.1 → Sett.8</t>
  </si>
  <si>
    <t>COSA FARE SE IL PESO NON SCENDE</t>
  </si>
  <si>
    <t>1. ASPETTA ALMENO 2-3 SETTIMANE</t>
  </si>
  <si>
    <t>Il peso fluttua ogni giorno per ritenzione idrica, ciclo, sale, ecc. Confronta la media settimanale — non il singolo giorno — su almeno 2 settimane. Solo allora decidi se agire.</t>
  </si>
  <si>
    <t>2. CONTROLLA LE KCAL REALI</t>
  </si>
  <si>
    <t>Molte persone sottostimano le kcal del 30-50%. Pesa gli alimenti con una bilancia da cucina e traccia tutto per 1-2 settimane con un'app (MyFitnessPal, Cronometer).</t>
  </si>
  <si>
    <t>3. RIDUCI DI ULTERIORI 100-200 KCAL</t>
  </si>
  <si>
    <t>Se dopo 3 settimane la media non scende, riduci il target di 100-200 kcal. Soglia minima sicura: 1.200 kcal per le donne, 1.400 kcal per gli uomini.</t>
  </si>
  <si>
    <t>4. AUMENTA L'ATTIVITÀ QUOTIDIANA</t>
  </si>
  <si>
    <t>Aggiungi 2.000-3.000 passi/giorno o una sessione cardio extra a settimana. Il movimento NEAT (camminare, scale, faccende) brucia più calorie di quanto pensi.</t>
  </si>
  <si>
    <t>5. RICALCOLA LE TUE KCAL (peso bloccato da 2+ settimane)</t>
  </si>
  <si>
    <t>Se dopo 2 settimane la media del peso non si muove, torna al foglio Calcolatore e aggiorna il campo PESO CORPOREO con il tuo peso attuale. Le kcal target, i macronutrienti e le porzioni della dieta si ricalcolano automaticamente. Con ogni kg perso il metabolismo rallenta leggermente: ricalcolare è essenziale per continuare a progredire.</t>
  </si>
  <si>
    <t>6. DORMI E GESTISCI LO STRESS</t>
  </si>
  <si>
    <t>Il cortisolo da stress cronico e il sonno insufficiente bloccano il dimagrimento. Punta a 7-9 ore di sonno. Lo stress aumenta la ritenzione idrica e il desiderio di cibo.</t>
  </si>
  <si>
    <t>7. MANTIENI LE PROTEINE ALTE</t>
  </si>
  <si>
    <t>Con la dieta ipocalorica rischi di perdere muscolo. Mantieni almeno 1.8-2g di proteine per kg di peso. Il muscolo brucia più calorie a riposo e dà forma al corpo.</t>
  </si>
  <si>
    <t>GUIDA COMPLETA AL DEFICIT CALORICO</t>
  </si>
  <si>
    <t>COME FUNZIONA IL CALCOLO</t>
  </si>
  <si>
    <t>Questo strumento usa la formula Mifflin-St Jeor, la più accurata disponibile per stimare il metabolismo basale (BMR). Il BMR viene poi moltiplicato per il fattore di attività per ottenere il TDEE — le calorie totali bruciate ogni giorno.</t>
  </si>
  <si>
    <t>Dal TDEE vengono sottratte 800 kcal creando un deficit sicuro ed efficace (~0.7-1 kg/settimana) senza rischiare perdita muscolare o rallentamento metabolico.</t>
  </si>
  <si>
    <t>LE FORMULE</t>
  </si>
  <si>
    <t>UOMINI: BMR = (10 × peso kg) + (6.25 × altezza cm) − (5 × età) + 5</t>
  </si>
  <si>
    <t>DONNE: BMR = (10 × peso kg) + (6.25 × altezza cm) − (5 × età) − 161</t>
  </si>
  <si>
    <t>TDEE = BMR × fattore attività | TARGET = TDEE − 800 kcal</t>
  </si>
  <si>
    <t>TIMELINE REALISTICA</t>
  </si>
  <si>
    <t>Sett. 1-2: perdi 1-3 kg rapidamente. È principalmente acqua e glicogeno, non grasso. Normale e atteso.</t>
  </si>
  <si>
    <t>Sett. 3-8: la perdita si stabilizza a 0.5-1 kg/settimana. Questa è la vera perdita di grasso.</t>
  </si>
  <si>
    <t>Sett. 9+: il ritmo potrebbe calare. Aggiorna il peso nel Calcolatore ogni 4-6 settimane o ogni volta che il peso si blocca per 2+ settimane.</t>
  </si>
  <si>
    <t>Pesati sempre alla stessa ora (mattino, a digiuno) per confronti accurati.</t>
  </si>
  <si>
    <t>PERCHÉ LE PROTEINE SONO FONDAMENTALI</t>
  </si>
  <si>
    <t>Con un deficit calorico, il corpo può bruciare sia grasso che muscolo. Un'assunzione proteica alta (2g/kg) è l'unico modo per preservare la massa muscolare. Inoltre, le proteine hanno un effetto termico del 25-30%: il tuo corpo brucia più calorie solo per digerirle!</t>
  </si>
  <si>
    <t>🚫 ERRORI DA EVITARE</t>
  </si>
  <si>
    <t>❌ Non pesare il cibo → è il motivo #1 per cui il peso non scende. Una manciata di frutta secca = +200 kcal.</t>
  </si>
  <si>
    <t>❌ Fidarsi del contapassi per le calorie bruciate → spesso sovrastimato del 40-60%.</t>
  </si>
  <si>
    <t>❌ Tagliare troppo le kcal → sotto 1.200 (donna) / 1.400 (uomo) perdi muscolo e rallenti il metabolismo.</t>
  </si>
  <si>
    <t>❌ Dimenticare i liquidi calorici → succhi, alcol, latte nel caffè = facilmente 300-500 kcal invisibili.</t>
  </si>
  <si>
    <t>❌ Pesarsi ogni giorno e farsi prendere dal panico → il peso varia di 1-3 kg/giorno per acqua, sale, ciclo.</t>
  </si>
  <si>
    <t>✅ ABITUDINI CHE FANNO LA DIFFERENZA</t>
  </si>
  <si>
    <t>✅ Pesa tutto con bilancia da cucina per almeno 2-3 settimane finché impari le porzioni.</t>
  </si>
  <si>
    <t>✅ Mantieni orari regolari per i pasti. Il digiuno intermittente funziona solo se aiuta il deficit.</t>
  </si>
  <si>
    <t>✅ Bevi 2-3 litri d'acqua al giorno: aumenta la sazietà e ottimizza il metabolismo.</t>
  </si>
  <si>
    <t>✅ Dormi 7-9 ore: migliorare il sonno aumenta del 20-30% l'utilizzo dei grassi come carburante.</t>
  </si>
  <si>
    <t>✅ Allena i muscoli: preserva la massa magra e aumenta il TDEE nel lungo periodo.</t>
  </si>
  <si>
    <t>⚠️ DISCLAIMER</t>
  </si>
  <si>
    <t>Questo strumento fornisce stime basate su formule validate scientificamente, ma non sostituisce il parere di medico, nutrizionista o dietista. Prima di iniziare qualsiasi regime dietetico, specialmente in presenza di patologie, consulta un professionista della salute.</t>
  </si>
  <si>
    <t>ESEMPIO DIETA GIORNALIERA PERSONALIZZATA</t>
  </si>
  <si>
    <t>OPZIONI VEGANE</t>
  </si>
  <si>
    <t>Swap 100% vegetali — stessa quantità, macro simili</t>
  </si>
  <si>
    <t>Il tuo TARGET giornaliero</t>
  </si>
  <si>
    <t>kcal/giorno</t>
  </si>
  <si>
    <t>Proteine Proteine target</t>
  </si>
  <si>
    <t>Grassi Grassi target</t>
  </si>
  <si>
    <t>Carbs Carbs target</t>
  </si>
  <si>
    <t>COLAZIONE</t>
  </si>
  <si>
    <t>~25-30% delle kcal giornaliere · Ricca di proteine per partire con energia</t>
  </si>
  <si>
    <t>Alimento</t>
  </si>
  <si>
    <t>g</t>
  </si>
  <si>
    <t>Kcal</t>
  </si>
  <si>
    <t>Prot (g)</t>
  </si>
  <si>
    <t>Carbs (g)</t>
  </si>
  <si>
    <t>Grassi (g)</t>
  </si>
  <si>
    <t>Alternative consigliate</t>
  </si>
  <si>
    <t>Opzioni Vegane</t>
  </si>
  <si>
    <t>Albumi (3 albumi)</t>
  </si>
  <si>
    <t>Pane integrale tostato</t>
  </si>
  <si>
    <t>Yogurt greco 0% grassi</t>
  </si>
  <si>
    <t>Frutta fresca (es. fragole)</t>
  </si>
  <si>
    <t>Caffè / tè (senza zucchero)</t>
  </si>
  <si>
    <t>Caffè macchiato scremato 150ml  |  Cappuccino latte scremato 150ml  |  Tè verde/nero non zuccherato 250ml  |  Tisana 250ml</t>
  </si>
  <si>
    <t>Tè verde 250ml  |  Caffè americano 200ml  |  Matcha con latte di avena 200ml  |  Tisana 250ml — già vegano</t>
  </si>
  <si>
    <t>Proteine Whey (1 scoop)</t>
  </si>
  <si>
    <t>Totale Colazione</t>
  </si>
  <si>
    <t>↑ Tutti gli swap mantengono macro simili — sostituisci liberamente</t>
  </si>
  <si>
    <t>Tutti gli swap vegani sono completi di proteine — combina legumi + cereali per amminoacidi completi</t>
  </si>
  <si>
    <t>x</t>
  </si>
  <si>
    <t>PRANZO</t>
  </si>
  <si>
    <t>~35-40% delle kcal giornaliere · Pasto principale bilanciato</t>
  </si>
  <si>
    <t>Petto di pollo / tacchino</t>
  </si>
  <si>
    <t>Riso basmati / pasta integrale</t>
  </si>
  <si>
    <t>Verdure miste al vapore</t>
  </si>
  <si>
    <t>Olio EVO (condimento)</t>
  </si>
  <si>
    <t>Limone / spezie q.b.</t>
  </si>
  <si>
    <t>Aceto balsamico 10ml  |  Senape 10g  |  Ketchup senza zucchero 15g  |  Salsa di soia 10ml  |  Erbe aromatiche q.b.  |  Peperoncino q.b.</t>
  </si>
  <si>
    <t>Aceto balsamico 10ml  |  Salsa tamari 10ml  |  Lievito nutrizionale 5g  |  Aglio e prezzemolo q.b. — già vegano</t>
  </si>
  <si>
    <t>Totale Pranzo</t>
  </si>
  <si>
    <t>SPUNTINO</t>
  </si>
  <si>
    <t>~5-10% delle kcal · Opzionale — aiuta a non arrivare affamato a cena</t>
  </si>
  <si>
    <t>Ricotta magra</t>
  </si>
  <si>
    <t>Frutta secca (mandorle/noci)</t>
  </si>
  <si>
    <t>Frutto fresco (mela/pera)</t>
  </si>
  <si>
    <t>Totale Spuntino</t>
  </si>
  <si>
    <t>CENA</t>
  </si>
  <si>
    <t>~25-30% delle kcal · Leggera ma proteica per favorire recupero notturno</t>
  </si>
  <si>
    <t>Pesce (salmone / merluzzo)</t>
  </si>
  <si>
    <t>Patate dolci / legumi cotti</t>
  </si>
  <si>
    <t>Insalata mista grande</t>
  </si>
  <si>
    <t>Totale Cena</t>
  </si>
  <si>
    <t>TOTALE GIORNALIERO</t>
  </si>
  <si>
    <t>Scarto vs Target</t>
  </si>
  <si>
    <t>COME USARE QUESTO PIANO | Le quantità sono esempi bilanciati per un target medio (1.500-2.000 kcal). Adatta le porzioni proporzionalmente al tuo target personale. Esempio: se il tuo target è 1.800 kcal e il totale esempio è 1.600 kcal, aumenta le porzioni del 12% su tutti i pasti. Sostituisci liberamente alimenti equivalenti (es. pollo ↔ tonno, riso ↔ pasta).</t>
  </si>
  <si>
    <t>Le porzioni si aggiornano automaticamente al tuo target calorico. Valori arrotondati a 5g per praticità.</t>
  </si>
  <si>
    <t>DIETA 3 PASTI — COLAZIONE · PRANZO · CENA</t>
  </si>
  <si>
    <t>Target giornaliero</t>
  </si>
  <si>
    <t>Proteine target</t>
  </si>
  <si>
    <t>Grassi target</t>
  </si>
  <si>
    <t>Carbs target</t>
  </si>
  <si>
    <t>~33-35% delle kcal · Abbondante per affrontare la giornata senza spuntini</t>
  </si>
  <si>
    <t>Frutta fresca</t>
  </si>
  <si>
    <t>Tè verde 250ml  |  Tisana 250ml  |  Matcha con latte di avena 200ml</t>
  </si>
  <si>
    <t>Tutti gli swap mantengono macro simili — sostituisci liberamente</t>
  </si>
  <si>
    <t>Combina legumi + cereali nello stesso giorno per amminoacidi completi</t>
  </si>
  <si>
    <t>~38-40% delle kcal · Pasto principale con fonte proteica, carboidrati e verdure</t>
  </si>
  <si>
    <t>Riso / pasta integrale</t>
  </si>
  <si>
    <t>Legumi (fagioli / ceci / lenticchie)</t>
  </si>
  <si>
    <t>Aceto balsamico 10ml  |  Senape 10g  |  Erbe aromatiche q.b.  |  Peperoncino q.b.</t>
  </si>
  <si>
    <t>Salsa tamari 10ml  |  Lievito nutrizionale 5g  |  Erbe aromatiche q.b. — già vegano</t>
  </si>
  <si>
    <t>~25-27% delle kcal · Leggera ma proteica per favorire il recupero notturno</t>
  </si>
  <si>
    <t>Pesce / carne magra</t>
  </si>
  <si>
    <t>Patate / cereali / legumi</t>
  </si>
  <si>
    <t>Tutti le sostituzioni mantengono macro simili — sostituisci liberamente</t>
  </si>
  <si>
    <t>Senza spuntino le porzioni sono più abbondanti. Se hai fame tra i pasti nelle prime settimane, aggiungi una piccola porzione di frutta (150g) o 1 yogurt greco come spuntino libero. Le porzioni si aggiornano automaticamente: aggiorna il PESO nel foglio Calcolatore.</t>
  </si>
  <si>
    <t>DIGIUNO INTERMITTENTE 16:8 — 1 PASTO PRINCIPALE + 1 SPUNTINO</t>
  </si>
  <si>
    <t>⏱  PROTOCOLLO 16:8:  16 ORE di digiuno (solo acqua, caffè e tè non zuccherati)  +  8 ORE di finestra alimentare con 1 pasto principale abbondante e 1 spuntino</t>
  </si>
  <si>
    <t>Carboidrati target</t>
  </si>
  <si>
    <t>🌙  DIGIUNO  ·  dalle 20:00 alle 12:00  ·  Solo acqua, caffè e tè non zuccherati</t>
  </si>
  <si>
    <t>🍽  PASTO PRINCIPALE  (12:00 – 14:00)</t>
  </si>
  <si>
    <t>~70% delle kcal · Pasto unico abbondante — proteine, carboidrati, legumi, verdure e grassi</t>
  </si>
  <si>
    <t>Legumi (ceci / fagioli / lenticchie)</t>
  </si>
  <si>
    <t>Verdure miste abbondanti</t>
  </si>
  <si>
    <t>Spezie / erbe / limone q.b.</t>
  </si>
  <si>
    <t>Aceto balsamico 10ml  |  Senape 10g  |  Peperoncino q.b.  |  Aglio q.b.  |  Rosmarino q.b.</t>
  </si>
  <si>
    <t>Salsa tamari 10ml  |  Lievito nutrizionale 5g  |  Erbe aromatiche q.b.</t>
  </si>
  <si>
    <t>Totale Pasto</t>
  </si>
  <si>
    <t>Tutti gli swap mantengono macro equivalenti — sostituisci liberamente</t>
  </si>
  <si>
    <t>Legumi + cereali nello stesso pasto = proteine complete</t>
  </si>
  <si>
    <t>~ 4-6 ORE DI PAUSA nella finestra alimentare — bevi acqua o tè non zuccherato ~</t>
  </si>
  <si>
    <t>🥜  SPUNTINO  (18:00 – 20:00)</t>
  </si>
  <si>
    <t>~30% delle kcal · Chiude la finestra alimentare — preferibilmente 1-2h prima di dormire</t>
  </si>
  <si>
    <t>Ricotta magra / yogurt greco</t>
  </si>
  <si>
    <t>Frutta secca (mandorle / noci)</t>
  </si>
  <si>
    <t>Frutto fresco</t>
  </si>
  <si>
    <t>Avena / gallette / crackers</t>
  </si>
  <si>
    <t>🌙  FINE FINESTRA ALIMENTARE  ·  dalle 20:00 iniziano le 16 ore di digiuno</t>
  </si>
  <si>
    <t>⚠️  AVVERTENZA:  Il protocollo 16:8 è adatto alla maggior parte degli adulti sani. Non è raccomandato in gravidanza, allattamento, disturbi alimentari o patologie metaboliche. Il pasto principale deve includere tutte le categorie: proteine, carboidrati, legumi, verdure e grassi. Se senti fame prima dello spuntino, bevi 1-2 bicchieri d'acqua o tè non zuccherato. Aggiorna il PESO nel foglio Calcolatore per ricalcolare automaticamente tutte le porzioni.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</si>
</sst>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dd/mm/yyyy"/>
    <numFmt numFmtId="166" formatCode="\+0.0;\-0.0;0.0"/>
    <numFmt numFmtId="167" formatCode="\+0;\-0;0"/>
    <numFmt numFmtId="168" formatCode="0\g"/>
    <numFmt numFmtId="169" formatCode="\+#,##0;\-#,##0;&quot;✅ 0&quot;"/>
  </numFmts>
  <fonts count="6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FFFF"/>
      <name val="Calibri"/>
    </font>
    <font>
      <b/>
      <sz val="22.0"/>
      <color rgb="FFFFFFFF"/>
      <name val="Calibri"/>
    </font>
    <font/>
    <font>
      <i/>
      <sz val="10.0"/>
      <color rgb="FF8899BB"/>
      <name val="Calibri"/>
    </font>
    <font>
      <b/>
      <sz val="11.0"/>
      <color rgb="FFFFFFFF"/>
      <name val="Calibri"/>
    </font>
    <font>
      <sz val="11.0"/>
      <color rgb="FFCBD5E0"/>
      <name val="Calibri"/>
    </font>
    <font>
      <b/>
      <sz val="14.0"/>
      <color rgb="FFF0A500"/>
      <name val="Calibri"/>
    </font>
    <font>
      <sz val="9.0"/>
      <color rgb="FF8899BB"/>
      <name val="Calibri"/>
    </font>
    <font>
      <b/>
      <sz val="14.0"/>
      <color rgb="FF8899BB"/>
      <name val="Calibri"/>
    </font>
    <font>
      <b/>
      <sz val="14.0"/>
      <color rgb="FFFFFFFF"/>
      <name val="Calibri"/>
    </font>
    <font>
      <b/>
      <sz val="12.0"/>
      <color rgb="FFCBD5E0"/>
      <name val="Calibri"/>
    </font>
    <font>
      <b/>
      <sz val="18.0"/>
      <color rgb="FFE8445A"/>
      <name val="Calibri"/>
    </font>
    <font>
      <sz val="11.0"/>
      <color theme="0"/>
      <name val="Calibri"/>
    </font>
    <font>
      <sz val="10.0"/>
      <color rgb="FFCBD5E0"/>
      <name val="Calibri"/>
    </font>
    <font>
      <b/>
      <sz val="12.0"/>
      <color rgb="FFFFFFFF"/>
      <name val="Calibri"/>
    </font>
    <font>
      <sz val="10.0"/>
      <color rgb="FF8899BB"/>
      <name val="Calibri"/>
    </font>
    <font>
      <b/>
      <sz val="9.0"/>
      <color rgb="FFF0A500"/>
      <name val="Calibri"/>
    </font>
    <font>
      <b/>
      <sz val="18.0"/>
      <color rgb="FFF0A500"/>
      <name val="Calibri"/>
    </font>
    <font>
      <b/>
      <sz val="10.0"/>
      <color rgb="FFFFFFFF"/>
      <name val="Calibri"/>
    </font>
    <font>
      <b/>
      <sz val="11.0"/>
      <color rgb="FFF0A500"/>
      <name val="Calibri"/>
    </font>
    <font>
      <i/>
      <sz val="9.0"/>
      <color rgb="FF8899BB"/>
      <name val="Calibri"/>
    </font>
    <font>
      <sz val="1.0"/>
      <color rgb="FF12192B"/>
      <name val="Cambria"/>
    </font>
    <font>
      <sz val="1.0"/>
      <color rgb="FF12192B"/>
      <name val="Calibri"/>
    </font>
    <font>
      <b/>
      <sz val="20.0"/>
      <color rgb="FFFFFFFF"/>
      <name val="Calibri"/>
    </font>
    <font>
      <b/>
      <sz val="10.0"/>
      <color rgb="FFF0A500"/>
      <name val="Calibri"/>
    </font>
    <font>
      <sz val="11.0"/>
      <color rgb="FFF0A500"/>
      <name val="Calibri"/>
    </font>
    <font>
      <b/>
      <sz val="12.0"/>
      <color rgb="FFFFFFFF"/>
      <name val="Arial"/>
    </font>
    <font>
      <sz val="9.0"/>
      <color rgb="FFF0A500"/>
      <name val="Arial"/>
    </font>
    <font>
      <b/>
      <sz val="10.0"/>
      <color rgb="FFF0A500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15.0"/>
      <color rgb="FFFFFFFF"/>
      <name val="Calibri"/>
    </font>
    <font>
      <b/>
      <sz val="12.0"/>
      <color rgb="FFF0A500"/>
      <name val="Calibri"/>
    </font>
    <font>
      <b/>
      <sz val="16.0"/>
      <color rgb="FF12192B"/>
      <name val="Calibri"/>
    </font>
    <font>
      <i/>
      <sz val="9.0"/>
      <color rgb="FF22C55E"/>
      <name val="Calibri"/>
    </font>
    <font>
      <b/>
      <sz val="11.0"/>
      <color rgb="FFCBD5E0"/>
      <name val="Calibri"/>
    </font>
    <font>
      <b/>
      <sz val="12.0"/>
      <color rgb="FF2ECC71"/>
      <name val="Calibri"/>
    </font>
    <font>
      <b/>
      <sz val="12.0"/>
      <color rgb="FF4A90D9"/>
      <name val="Calibri"/>
    </font>
    <font>
      <b/>
      <sz val="13.0"/>
      <color rgb="FFFFFFFF"/>
      <name val="Calibri"/>
    </font>
    <font>
      <b/>
      <sz val="9.0"/>
      <color rgb="FF22C55E"/>
      <name val="Calibri"/>
    </font>
    <font>
      <sz val="10.0"/>
      <color rgb="FFFFFFFF"/>
      <name val="Calibri"/>
    </font>
    <font>
      <sz val="10.0"/>
      <color rgb="FFF0A500"/>
      <name val="Calibri"/>
    </font>
    <font>
      <sz val="10.0"/>
      <color rgb="FF93C5FD"/>
      <name val="Calibri"/>
    </font>
    <font>
      <sz val="10.0"/>
      <color rgb="FF86EFAC"/>
      <name val="Calibri"/>
    </font>
    <font>
      <sz val="10.0"/>
      <color rgb="FFC4B5FD"/>
      <name val="Calibri"/>
    </font>
    <font>
      <i/>
      <sz val="8.0"/>
      <color rgb="FF8899BB"/>
      <name val="Calibri"/>
    </font>
    <font>
      <i/>
      <sz val="8.0"/>
      <color rgb="FF22C55E"/>
      <name val="Calibri"/>
    </font>
    <font>
      <b/>
      <sz val="13.0"/>
      <color rgb="FFE8445A"/>
      <name val="Calibri"/>
    </font>
    <font>
      <b/>
      <sz val="10.0"/>
      <color rgb="FF8899BB"/>
      <name val="Calibri"/>
    </font>
    <font>
      <b/>
      <sz val="10.0"/>
      <color rgb="FF2ECC71"/>
      <name val="Calibri"/>
    </font>
    <font>
      <b/>
      <sz val="12.0"/>
      <color rgb="FF86EFAC"/>
      <name val="Calibri"/>
    </font>
    <font>
      <b/>
      <sz val="12.0"/>
      <color rgb="FF93C5FD"/>
      <name val="Calibri"/>
    </font>
    <font>
      <b/>
      <sz val="9.0"/>
      <color rgb="FF86EFAC"/>
      <name val="Calibri"/>
    </font>
    <font>
      <i/>
      <sz val="8.0"/>
      <color rgb="FF86EFAC"/>
      <name val="Calibri"/>
    </font>
    <font>
      <b/>
      <sz val="14.0"/>
      <color rgb="FFE8445A"/>
      <name val="Calibri"/>
    </font>
    <font>
      <b/>
      <sz val="10.0"/>
      <color rgb="FF86EFAC"/>
      <name val="Calibri"/>
    </font>
    <font>
      <b/>
      <sz val="18.0"/>
      <color rgb="FFFFFFFF"/>
      <name val="Calibri"/>
    </font>
    <font>
      <b/>
      <sz val="10.0"/>
      <color rgb="FF14B8A6"/>
      <name val="Calibri"/>
    </font>
    <font>
      <b/>
      <sz val="9.0"/>
      <color rgb="FF93C5FD"/>
      <name val="Calibri"/>
    </font>
    <font>
      <b/>
      <sz val="11.0"/>
      <color rgb="FF14B8A6"/>
      <name val="Calibri"/>
    </font>
    <font>
      <b/>
      <sz val="10.0"/>
      <color rgb="FF93C5FD"/>
      <name val="Calibri"/>
    </font>
    <font>
      <b/>
      <sz val="11.0"/>
      <color rgb="FF93C5FD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12192B"/>
        <bgColor rgb="FF12192B"/>
      </patternFill>
    </fill>
    <fill>
      <patternFill patternType="solid">
        <fgColor rgb="FFE8445A"/>
        <bgColor rgb="FFE8445A"/>
      </patternFill>
    </fill>
    <fill>
      <patternFill patternType="solid">
        <fgColor rgb="FF1F3158"/>
        <bgColor rgb="FF1F3158"/>
      </patternFill>
    </fill>
    <fill>
      <patternFill patternType="solid">
        <fgColor rgb="FF253657"/>
        <bgColor rgb="FF253657"/>
      </patternFill>
    </fill>
    <fill>
      <patternFill patternType="solid">
        <fgColor rgb="FF1A2845"/>
        <bgColor rgb="FF1A2845"/>
      </patternFill>
    </fill>
    <fill>
      <patternFill patternType="solid">
        <fgColor rgb="FF0D2137"/>
        <bgColor rgb="FF0D2137"/>
      </patternFill>
    </fill>
    <fill>
      <patternFill patternType="solid">
        <fgColor rgb="FF0D1E35"/>
        <bgColor rgb="FF0D1E35"/>
      </patternFill>
    </fill>
    <fill>
      <patternFill patternType="solid">
        <fgColor rgb="FF22C55E"/>
        <bgColor rgb="FF22C55E"/>
      </patternFill>
    </fill>
    <fill>
      <patternFill patternType="solid">
        <fgColor rgb="FF0A2010"/>
        <bgColor rgb="FF0A2010"/>
      </patternFill>
    </fill>
    <fill>
      <patternFill patternType="solid">
        <fgColor rgb="FF0F2744"/>
        <bgColor rgb="FF0F2744"/>
      </patternFill>
    </fill>
    <fill>
      <patternFill patternType="solid">
        <fgColor rgb="FF1A0A2E"/>
        <bgColor rgb="FF1A0A2E"/>
      </patternFill>
    </fill>
    <fill>
      <patternFill patternType="solid">
        <fgColor rgb="FF0A0A20"/>
        <bgColor rgb="FF0A0A20"/>
      </patternFill>
    </fill>
    <fill>
      <patternFill patternType="solid">
        <fgColor rgb="FF14B8A6"/>
        <bgColor rgb="FF14B8A6"/>
      </patternFill>
    </fill>
    <fill>
      <patternFill patternType="solid">
        <fgColor rgb="FF0A2020"/>
        <bgColor rgb="FF0A2020"/>
      </patternFill>
    </fill>
    <fill>
      <patternFill patternType="solid">
        <fgColor rgb="FF0D1F30"/>
        <bgColor rgb="FF0D1F30"/>
      </patternFill>
    </fill>
    <fill>
      <patternFill patternType="solid">
        <fgColor rgb="FF395C8C"/>
        <bgColor rgb="FF395C8C"/>
      </patternFill>
    </fill>
  </fills>
  <borders count="48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2C4070"/>
      </left>
      <right style="thin">
        <color rgb="FF2C4070"/>
      </right>
      <top style="thin">
        <color rgb="FF2C4070"/>
      </top>
      <bottom style="thin">
        <color rgb="FF2C4070"/>
      </bottom>
    </border>
    <border>
      <left style="medium">
        <color rgb="FFF0A500"/>
      </left>
      <right style="medium">
        <color rgb="FFF0A500"/>
      </right>
      <top style="medium">
        <color rgb="FFF0A500"/>
      </top>
      <bottom style="medium">
        <color rgb="FFF0A500"/>
      </bottom>
    </border>
    <border>
      <left style="medium">
        <color rgb="FFE8445A"/>
      </left>
      <top style="medium">
        <color rgb="FFE8445A"/>
      </top>
      <bottom style="medium">
        <color rgb="FFE8445A"/>
      </bottom>
    </border>
    <border>
      <top style="medium">
        <color rgb="FFE8445A"/>
      </top>
      <bottom style="medium">
        <color rgb="FFE8445A"/>
      </bottom>
    </border>
    <border>
      <left style="medium">
        <color rgb="FFF0A500"/>
      </left>
      <top style="medium">
        <color rgb="FFF0A500"/>
      </top>
      <bottom style="medium">
        <color rgb="FFF0A500"/>
      </bottom>
    </border>
    <border>
      <top style="medium">
        <color rgb="FFF0A500"/>
      </top>
      <bottom style="medium">
        <color rgb="FFF0A500"/>
      </bottom>
    </border>
    <border>
      <left style="thin">
        <color rgb="FFE8445A"/>
      </left>
      <right style="thin">
        <color rgb="FFE8445A"/>
      </right>
      <top style="thin">
        <color rgb="FFE8445A"/>
      </top>
      <bottom style="thin">
        <color rgb="FFE8445A"/>
      </bottom>
    </border>
    <border>
      <left style="thin">
        <color rgb="FF2C4070"/>
      </left>
      <top style="thin">
        <color rgb="FF2C4070"/>
      </top>
      <bottom style="thin">
        <color rgb="FF2C4070"/>
      </bottom>
    </border>
    <border>
      <top style="thin">
        <color rgb="FF2C4070"/>
      </top>
      <bottom style="thin">
        <color rgb="FF2C4070"/>
      </bottom>
    </border>
    <border>
      <left style="medium">
        <color rgb="FFE8445A"/>
      </left>
      <right style="medium">
        <color rgb="FFE8445A"/>
      </right>
      <top style="medium">
        <color rgb="FFE8445A"/>
      </top>
      <bottom style="medium">
        <color rgb="FFE8445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E8445A"/>
      </left>
      <top style="thin">
        <color rgb="FFE8445A"/>
      </top>
      <bottom style="thin">
        <color rgb="FFE8445A"/>
      </bottom>
    </border>
    <border>
      <top style="thin">
        <color rgb="FFE8445A"/>
      </top>
      <bottom style="thin">
        <color rgb="FFE8445A"/>
      </bottom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</border>
    <border>
      <left style="thin">
        <color rgb="FF2ECC71"/>
      </left>
      <right style="thin">
        <color rgb="FF2ECC71"/>
      </right>
      <top style="thin">
        <color rgb="FF2ECC71"/>
      </top>
      <bottom style="thin">
        <color rgb="FF2ECC71"/>
      </bottom>
    </border>
    <border>
      <left style="thin">
        <color rgb="FFF0A500"/>
      </left>
      <right style="thin">
        <color rgb="FFF0A500"/>
      </right>
      <top style="thin">
        <color rgb="FFF0A500"/>
      </top>
      <bottom style="thin">
        <color rgb="FFF0A500"/>
      </bottom>
    </border>
    <border>
      <left style="thin">
        <color rgb="FF4A90D9"/>
      </left>
      <right style="thin">
        <color rgb="FF4A90D9"/>
      </right>
      <top style="thin">
        <color rgb="FF4A90D9"/>
      </top>
      <bottom style="thin">
        <color rgb="FF4A90D9"/>
      </bottom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</border>
    <border>
      <left style="thin">
        <color rgb="FF164B25"/>
      </left>
      <right style="thin">
        <color rgb="FF164B25"/>
      </right>
      <top style="thin">
        <color rgb="FF164B25"/>
      </top>
      <bottom style="thin">
        <color rgb="FF164B25"/>
      </bottom>
    </border>
    <border>
      <left style="thin">
        <color rgb="FF2D1B69"/>
      </left>
      <right style="thin">
        <color rgb="FF2D1B69"/>
      </right>
      <top style="thin">
        <color rgb="FF2D1B69"/>
      </top>
      <bottom style="thin">
        <color rgb="FF2D1B69"/>
      </bottom>
    </border>
    <border>
      <right style="medium">
        <color rgb="FFE8445A"/>
      </right>
      <top style="medium">
        <color rgb="FFE8445A"/>
      </top>
      <bottom style="medium">
        <color rgb="FFE8445A"/>
      </bottom>
    </border>
    <border>
      <left style="thin">
        <color rgb="FF2C4070"/>
      </left>
      <right/>
      <top style="thin">
        <color rgb="FF2C4070"/>
      </top>
      <bottom style="thin">
        <color rgb="FF2C4070"/>
      </bottom>
    </border>
    <border>
      <left/>
      <right/>
      <top style="thin">
        <color rgb="FF2C4070"/>
      </top>
      <bottom style="thin">
        <color rgb="FF2C4070"/>
      </bottom>
    </border>
    <border>
      <right style="thin">
        <color rgb="FF22C55E"/>
      </right>
      <top style="thin">
        <color rgb="FF2C4070"/>
      </top>
      <bottom style="thin">
        <color rgb="FF2C4070"/>
      </bottom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</border>
    <border>
      <right style="thin">
        <color rgb="FF2C4070"/>
      </right>
      <top style="thin">
        <color rgb="FF2C4070"/>
      </top>
      <bottom style="thin">
        <color rgb="FF2C4070"/>
      </bottom>
    </border>
    <border>
      <left style="medium">
        <color rgb="FFF0A500"/>
      </left>
      <right/>
      <top style="medium">
        <color rgb="FFF0A500"/>
      </top>
      <bottom style="medium">
        <color rgb="FFF0A500"/>
      </bottom>
    </border>
    <border>
      <left/>
      <right/>
      <top style="medium">
        <color rgb="FFF0A500"/>
      </top>
      <bottom style="medium">
        <color rgb="FFF0A500"/>
      </bottom>
    </border>
    <border>
      <left style="medium">
        <color rgb="FF14B8A6"/>
      </left>
      <top style="medium">
        <color rgb="FF14B8A6"/>
      </top>
      <bottom style="medium">
        <color rgb="FF14B8A6"/>
      </bottom>
    </border>
    <border>
      <top style="medium">
        <color rgb="FF14B8A6"/>
      </top>
      <bottom style="medium">
        <color rgb="FF14B8A6"/>
      </bottom>
    </border>
    <border>
      <left style="thin">
        <color rgb="FF1E3A5F"/>
      </left>
      <top style="thin">
        <color rgb="FF1E3A5F"/>
      </top>
      <bottom style="thin">
        <color rgb="FF1E3A5F"/>
      </bottom>
    </border>
    <border>
      <top style="thin">
        <color rgb="FF1E3A5F"/>
      </top>
      <bottom style="thin">
        <color rgb="FF1E3A5F"/>
      </bottom>
    </border>
    <border>
      <left style="medium">
        <color rgb="FF14B8A6"/>
      </left>
      <right style="medium">
        <color rgb="FF14B8A6"/>
      </right>
      <top style="medium">
        <color rgb="FF14B8A6"/>
      </top>
      <bottom style="medium">
        <color rgb="FF14B8A6"/>
      </bottom>
    </border>
    <border>
      <left style="thin">
        <color rgb="FF14B8A6"/>
      </left>
      <right style="thin">
        <color rgb="FF14B8A6"/>
      </right>
      <top style="thin">
        <color rgb="FF14B8A6"/>
      </top>
      <bottom style="thin">
        <color rgb="FF14B8A6"/>
      </bottom>
    </border>
    <border>
      <left style="medium">
        <color rgb="FF93C5FD"/>
      </left>
      <right/>
      <top style="medium">
        <color rgb="FF93C5FD"/>
      </top>
      <bottom style="medium">
        <color rgb="FF93C5FD"/>
      </bottom>
    </border>
    <border>
      <left/>
      <right/>
      <top style="medium">
        <color rgb="FF93C5FD"/>
      </top>
      <bottom style="medium">
        <color rgb="FF93C5FD"/>
      </bottom>
    </border>
    <border>
      <left style="medium">
        <color rgb="FF93C5FD"/>
      </left>
      <right style="medium">
        <color rgb="FF93C5FD"/>
      </right>
      <top style="medium">
        <color rgb="FF93C5FD"/>
      </top>
      <bottom style="medium">
        <color rgb="FF93C5FD"/>
      </bottom>
    </border>
    <border>
      <left style="thin">
        <color rgb="FF1E3A5F"/>
      </left>
      <right/>
      <top style="thin">
        <color rgb="FF1E3A5F"/>
      </top>
      <bottom style="thin">
        <color rgb="FF1E3A5F"/>
      </bottom>
    </border>
    <border>
      <left/>
      <right/>
      <top style="thin">
        <color rgb="FF1E3A5F"/>
      </top>
      <bottom style="thin">
        <color rgb="FF1E3A5F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2" fillId="4" fontId="5" numFmtId="0" xfId="0" applyAlignment="1" applyBorder="1" applyFill="1" applyFont="1">
      <alignment horizontal="center"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5" fillId="4" fontId="8" numFmtId="0" xfId="0" applyAlignment="1" applyBorder="1" applyFont="1">
      <alignment horizontal="center" readingOrder="0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6" fillId="2" fontId="10" numFmtId="3" xfId="0" applyAlignment="1" applyBorder="1" applyFont="1" applyNumberFormat="1">
      <alignment horizontal="center" shrinkToFit="0" vertical="center" wrapText="1"/>
    </xf>
    <xf borderId="7" fillId="0" fontId="4" numFmtId="0" xfId="0" applyBorder="1" applyFont="1"/>
    <xf borderId="6" fillId="2" fontId="11" numFmtId="3" xfId="0" applyAlignment="1" applyBorder="1" applyFont="1" applyNumberFormat="1">
      <alignment horizontal="center" shrinkToFit="0" vertical="center" wrapText="1"/>
    </xf>
    <xf borderId="4" fillId="6" fontId="12" numFmtId="0" xfId="0" applyAlignment="1" applyBorder="1" applyFont="1">
      <alignment horizontal="left" shrinkToFit="0" vertical="center" wrapText="1"/>
    </xf>
    <xf borderId="8" fillId="2" fontId="13" numFmtId="3" xfId="0" applyAlignment="1" applyBorder="1" applyFont="1" applyNumberFormat="1">
      <alignment horizontal="center" shrinkToFit="0" vertical="center" wrapText="1"/>
    </xf>
    <xf borderId="9" fillId="0" fontId="4" numFmtId="0" xfId="0" applyBorder="1" applyFont="1"/>
    <xf borderId="1" fillId="2" fontId="14" numFmtId="0" xfId="0" applyAlignment="1" applyBorder="1" applyFont="1">
      <alignment shrinkToFit="0" vertical="bottom" wrapText="0"/>
    </xf>
    <xf borderId="4" fillId="6" fontId="15" numFmtId="0" xfId="0" applyAlignment="1" applyBorder="1" applyFont="1">
      <alignment horizontal="left" shrinkToFit="0" vertical="center" wrapText="1"/>
    </xf>
    <xf borderId="10" fillId="2" fontId="16" numFmtId="3" xfId="0" applyAlignment="1" applyBorder="1" applyFont="1" applyNumberFormat="1">
      <alignment horizontal="center" shrinkToFit="0" vertical="center" wrapText="1"/>
    </xf>
    <xf borderId="11" fillId="6" fontId="17" numFmtId="0" xfId="0" applyAlignment="1" applyBorder="1" applyFont="1">
      <alignment horizontal="left" shrinkToFit="0" vertical="center" wrapText="1"/>
    </xf>
    <xf borderId="12" fillId="0" fontId="4" numFmtId="0" xfId="0" applyBorder="1" applyFont="1"/>
    <xf borderId="4" fillId="6" fontId="1" numFmtId="0" xfId="0" applyAlignment="1" applyBorder="1" applyFont="1">
      <alignment shrinkToFit="0" vertical="bottom" wrapText="0"/>
    </xf>
    <xf borderId="4" fillId="5" fontId="18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5" fillId="2" fontId="19" numFmtId="164" xfId="0" applyAlignment="1" applyBorder="1" applyFont="1" applyNumberFormat="1">
      <alignment horizontal="center" shrinkToFit="0" vertical="center" wrapText="1"/>
    </xf>
    <xf borderId="4" fillId="6" fontId="20" numFmtId="0" xfId="0" applyAlignment="1" applyBorder="1" applyFont="1">
      <alignment horizontal="left" shrinkToFit="0" vertical="center" wrapText="1"/>
    </xf>
    <xf borderId="8" fillId="7" fontId="21" numFmtId="0" xfId="0" applyAlignment="1" applyBorder="1" applyFill="1" applyFont="1">
      <alignment horizontal="center" shrinkToFit="0" vertical="center" wrapText="0"/>
    </xf>
    <xf borderId="2" fillId="5" fontId="22" numFmtId="0" xfId="0" applyAlignment="1" applyBorder="1" applyFont="1">
      <alignment horizontal="center" shrinkToFit="0" vertical="center" wrapText="1"/>
    </xf>
    <xf borderId="1" fillId="2" fontId="23" numFmtId="0" xfId="0" applyAlignment="1" applyBorder="1" applyFont="1">
      <alignment shrinkToFit="0" vertical="bottom" wrapText="0"/>
    </xf>
    <xf borderId="1" fillId="2" fontId="24" numFmtId="0" xfId="0" applyAlignment="1" applyBorder="1" applyFont="1">
      <alignment shrinkToFit="0" vertical="bottom" wrapText="0"/>
    </xf>
    <xf borderId="1" fillId="5" fontId="9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vertical="bottom" wrapText="0"/>
    </xf>
    <xf borderId="2" fillId="3" fontId="25" numFmtId="0" xfId="0" applyAlignment="1" applyBorder="1" applyFont="1">
      <alignment horizontal="center" shrinkToFit="0" vertical="center" wrapText="1"/>
    </xf>
    <xf borderId="13" fillId="4" fontId="2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27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27" numFmtId="0" xfId="0" applyAlignment="1" applyBorder="1" applyFont="1">
      <alignment horizontal="center" shrinkToFit="0" vertical="center" wrapText="1"/>
    </xf>
    <xf borderId="5" fillId="4" fontId="21" numFmtId="0" xfId="0" applyAlignment="1" applyBorder="1" applyFont="1">
      <alignment horizontal="center" shrinkToFit="0" vertical="center" wrapText="1"/>
    </xf>
    <xf borderId="5" fillId="4" fontId="21" numFmtId="164" xfId="0" applyAlignment="1" applyBorder="1" applyFont="1" applyNumberFormat="1">
      <alignment horizontal="center" shrinkToFit="0" vertical="center" wrapText="1"/>
    </xf>
    <xf borderId="14" fillId="3" fontId="28" numFmtId="0" xfId="0" applyAlignment="1" applyBorder="1" applyFont="1">
      <alignment horizontal="center" shrinkToFit="0" vertical="center" wrapText="0"/>
    </xf>
    <xf borderId="15" fillId="0" fontId="4" numFmtId="0" xfId="0" applyBorder="1" applyFont="1"/>
    <xf borderId="16" fillId="0" fontId="4" numFmtId="0" xfId="0" applyBorder="1" applyFont="1"/>
    <xf borderId="14" fillId="4" fontId="29" numFmtId="0" xfId="0" applyAlignment="1" applyBorder="1" applyFont="1">
      <alignment horizontal="center" shrinkToFit="0" vertical="center" wrapText="1"/>
    </xf>
    <xf borderId="17" fillId="4" fontId="30" numFmtId="0" xfId="0" applyAlignment="1" applyBorder="1" applyFont="1">
      <alignment horizontal="center" shrinkToFit="0" vertical="center" wrapText="1"/>
    </xf>
    <xf borderId="17" fillId="6" fontId="31" numFmtId="0" xfId="0" applyAlignment="1" applyBorder="1" applyFont="1">
      <alignment horizontal="center" shrinkToFit="0" vertical="center" wrapText="0"/>
    </xf>
    <xf borderId="17" fillId="8" fontId="32" numFmtId="0" xfId="0" applyAlignment="1" applyBorder="1" applyFill="1" applyFont="1">
      <alignment horizontal="center" shrinkToFit="0" vertical="center" wrapText="0"/>
    </xf>
    <xf borderId="17" fillId="5" fontId="31" numFmtId="0" xfId="0" applyAlignment="1" applyBorder="1" applyFont="1">
      <alignment horizontal="center" shrinkToFit="0" vertical="center" wrapText="0"/>
    </xf>
    <xf borderId="17" fillId="8" fontId="32" numFmtId="165" xfId="0" applyAlignment="1" applyBorder="1" applyFont="1" applyNumberFormat="1">
      <alignment horizontal="center" shrinkToFit="0" vertical="center" wrapText="0"/>
    </xf>
    <xf borderId="17" fillId="8" fontId="32" numFmtId="164" xfId="0" applyAlignment="1" applyBorder="1" applyFont="1" applyNumberFormat="1">
      <alignment horizontal="center" shrinkToFit="0" vertical="center" wrapText="0"/>
    </xf>
    <xf borderId="17" fillId="8" fontId="32" numFmtId="1" xfId="0" applyAlignment="1" applyBorder="1" applyFont="1" applyNumberFormat="1">
      <alignment horizontal="center" shrinkToFit="0" vertical="center" wrapText="0"/>
    </xf>
    <xf borderId="18" fillId="4" fontId="30" numFmtId="0" xfId="0" applyAlignment="1" applyBorder="1" applyFont="1">
      <alignment horizontal="center" shrinkToFit="0" vertical="center" wrapText="0"/>
    </xf>
    <xf borderId="18" fillId="4" fontId="30" numFmtId="166" xfId="0" applyAlignment="1" applyBorder="1" applyFont="1" applyNumberFormat="1">
      <alignment horizontal="center" shrinkToFit="0" vertical="center" wrapText="0"/>
    </xf>
    <xf borderId="18" fillId="4" fontId="30" numFmtId="167" xfId="0" applyAlignment="1" applyBorder="1" applyFont="1" applyNumberFormat="1">
      <alignment horizontal="center" shrinkToFit="0" vertical="center" wrapText="0"/>
    </xf>
    <xf borderId="2" fillId="2" fontId="33" numFmtId="0" xfId="0" applyAlignment="1" applyBorder="1" applyFont="1">
      <alignment horizontal="center" shrinkToFit="0" vertical="center" wrapText="1"/>
    </xf>
    <xf borderId="19" fillId="4" fontId="26" numFmtId="0" xfId="0" applyAlignment="1" applyBorder="1" applyFont="1">
      <alignment horizontal="left" shrinkToFit="0" vertical="center" wrapText="1"/>
    </xf>
    <xf borderId="20" fillId="0" fontId="4" numFmtId="0" xfId="0" applyBorder="1" applyFont="1"/>
    <xf borderId="11" fillId="6" fontId="15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horizontal="center" shrinkToFit="0" vertical="center" wrapText="1"/>
    </xf>
    <xf borderId="13" fillId="4" fontId="34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shrinkToFit="0" vertical="bottom" wrapText="0"/>
    </xf>
    <xf borderId="21" fillId="9" fontId="35" numFmtId="0" xfId="0" applyAlignment="1" applyBorder="1" applyFill="1" applyFont="1">
      <alignment horizontal="center" shrinkToFit="0" vertical="center" wrapText="1"/>
    </xf>
    <xf borderId="8" fillId="5" fontId="26" numFmtId="0" xfId="0" applyAlignment="1" applyBorder="1" applyFont="1">
      <alignment horizontal="left" shrinkToFit="0" vertical="center" wrapText="0"/>
    </xf>
    <xf borderId="4" fillId="4" fontId="1" numFmtId="0" xfId="0" applyAlignment="1" applyBorder="1" applyFont="1">
      <alignment shrinkToFit="0" vertical="bottom" wrapText="0"/>
    </xf>
    <xf borderId="21" fillId="10" fontId="36" numFmtId="0" xfId="0" applyAlignment="1" applyBorder="1" applyFill="1" applyFont="1">
      <alignment horizontal="center" shrinkToFit="0" vertical="center" wrapText="1"/>
    </xf>
    <xf borderId="11" fillId="6" fontId="37" numFmtId="0" xfId="0" applyAlignment="1" applyBorder="1" applyFont="1">
      <alignment horizontal="left" shrinkToFit="0" vertical="center" wrapText="1"/>
    </xf>
    <xf borderId="13" fillId="2" fontId="13" numFmtId="3" xfId="0" applyAlignment="1" applyBorder="1" applyFont="1" applyNumberFormat="1">
      <alignment horizontal="center" shrinkToFit="0" vertical="center" wrapText="1"/>
    </xf>
    <xf borderId="4" fillId="6" fontId="17" numFmtId="0" xfId="0" applyAlignment="1" applyBorder="1" applyFont="1">
      <alignment horizontal="left" shrinkToFit="0" vertical="center" wrapText="1"/>
    </xf>
    <xf borderId="21" fillId="10" fontId="1" numFmtId="0" xfId="0" applyAlignment="1" applyBorder="1" applyFont="1">
      <alignment shrinkToFit="0" vertical="bottom" wrapText="0"/>
    </xf>
    <xf borderId="22" fillId="4" fontId="38" numFmtId="168" xfId="0" applyAlignment="1" applyBorder="1" applyFont="1" applyNumberFormat="1">
      <alignment horizontal="center" shrinkToFit="0" vertical="center" wrapText="1"/>
    </xf>
    <xf borderId="23" fillId="4" fontId="34" numFmtId="168" xfId="0" applyAlignment="1" applyBorder="1" applyFont="1" applyNumberFormat="1">
      <alignment horizontal="center" shrinkToFit="0" vertical="center" wrapText="1"/>
    </xf>
    <xf borderId="24" fillId="4" fontId="39" numFmtId="168" xfId="0" applyAlignment="1" applyBorder="1" applyFont="1" applyNumberFormat="1">
      <alignment horizontal="center" shrinkToFit="0" vertical="center" wrapText="1"/>
    </xf>
    <xf borderId="6" fillId="3" fontId="40" numFmtId="0" xfId="0" applyAlignment="1" applyBorder="1" applyFont="1">
      <alignment horizontal="left" shrinkToFit="0" vertical="center" wrapText="1"/>
    </xf>
    <xf borderId="21" fillId="9" fontId="1" numFmtId="0" xfId="0" applyAlignment="1" applyBorder="1" applyFont="1">
      <alignment shrinkToFit="0" vertical="bottom" wrapText="0"/>
    </xf>
    <xf borderId="2" fillId="5" fontId="22" numFmtId="0" xfId="0" applyAlignment="1" applyBorder="1" applyFont="1">
      <alignment horizontal="left" shrinkToFit="0" vertical="center" wrapText="1"/>
    </xf>
    <xf borderId="4" fillId="5" fontId="1" numFmtId="0" xfId="0" applyAlignment="1" applyBorder="1" applyFont="1">
      <alignment shrinkToFit="0" vertical="bottom" wrapText="0"/>
    </xf>
    <xf borderId="10" fillId="4" fontId="18" numFmtId="0" xfId="0" applyAlignment="1" applyBorder="1" applyFont="1">
      <alignment horizontal="center" shrinkToFit="0" vertical="center" wrapText="1"/>
    </xf>
    <xf borderId="21" fillId="10" fontId="41" numFmtId="0" xfId="0" applyAlignment="1" applyBorder="1" applyFont="1">
      <alignment horizontal="center" shrinkToFit="0" vertical="center" wrapText="1"/>
    </xf>
    <xf borderId="4" fillId="6" fontId="42" numFmtId="164" xfId="0" applyAlignment="1" applyBorder="1" applyFont="1" applyNumberFormat="1">
      <alignment horizontal="left" shrinkToFit="0" vertical="center" wrapText="1"/>
    </xf>
    <xf borderId="4" fillId="6" fontId="43" numFmtId="1" xfId="0" applyAlignment="1" applyBorder="1" applyFont="1" applyNumberFormat="1">
      <alignment horizontal="center" shrinkToFit="0" vertical="center" wrapText="1"/>
    </xf>
    <xf borderId="4" fillId="6" fontId="43" numFmtId="164" xfId="0" applyAlignment="1" applyBorder="1" applyFont="1" applyNumberFormat="1">
      <alignment horizontal="center" shrinkToFit="0" vertical="center" wrapText="1"/>
    </xf>
    <xf borderId="25" fillId="11" fontId="44" numFmtId="0" xfId="0" applyAlignment="1" applyBorder="1" applyFill="1" applyFont="1">
      <alignment horizontal="left" shrinkToFit="0" vertical="center" wrapText="1"/>
    </xf>
    <xf borderId="26" fillId="10" fontId="45" numFmtId="0" xfId="0" applyAlignment="1" applyBorder="1" applyFont="1">
      <alignment horizontal="left" shrinkToFit="0" vertical="center" wrapText="1"/>
    </xf>
    <xf borderId="4" fillId="5" fontId="42" numFmtId="164" xfId="0" applyAlignment="1" applyBorder="1" applyFont="1" applyNumberFormat="1">
      <alignment horizontal="left" shrinkToFit="0" vertical="center" wrapText="1"/>
    </xf>
    <xf borderId="4" fillId="5" fontId="43" numFmtId="1" xfId="0" applyAlignment="1" applyBorder="1" applyFont="1" applyNumberFormat="1">
      <alignment horizontal="center" shrinkToFit="0" vertical="center" wrapText="1"/>
    </xf>
    <xf borderId="4" fillId="5" fontId="43" numFmtId="164" xfId="0" applyAlignment="1" applyBorder="1" applyFont="1" applyNumberFormat="1">
      <alignment horizontal="center" shrinkToFit="0" vertical="center" wrapText="1"/>
    </xf>
    <xf borderId="4" fillId="5" fontId="42" numFmtId="0" xfId="0" applyAlignment="1" applyBorder="1" applyFont="1">
      <alignment horizontal="left" shrinkToFit="0" vertical="center" wrapText="1"/>
    </xf>
    <xf borderId="4" fillId="5" fontId="21" numFmtId="0" xfId="0" applyAlignment="1" applyBorder="1" applyFont="1">
      <alignment horizontal="center" shrinkToFit="0" vertical="center" wrapText="1"/>
    </xf>
    <xf borderId="4" fillId="5" fontId="42" numFmtId="3" xfId="0" applyAlignment="1" applyBorder="1" applyFont="1" applyNumberFormat="1">
      <alignment horizontal="center" shrinkToFit="0" vertical="center" wrapText="1"/>
    </xf>
    <xf borderId="4" fillId="5" fontId="15" numFmtId="164" xfId="0" applyAlignment="1" applyBorder="1" applyFont="1" applyNumberFormat="1">
      <alignment horizontal="center" shrinkToFit="0" vertical="center" wrapText="1"/>
    </xf>
    <xf borderId="27" fillId="12" fontId="46" numFmtId="0" xfId="0" applyAlignment="1" applyBorder="1" applyFill="1" applyFont="1">
      <alignment horizontal="left" shrinkToFit="0" vertical="center" wrapText="1"/>
    </xf>
    <xf borderId="27" fillId="13" fontId="46" numFmtId="0" xfId="0" applyAlignment="1" applyBorder="1" applyFill="1" applyFont="1">
      <alignment horizontal="left" shrinkToFit="0" vertical="center" wrapText="1"/>
    </xf>
    <xf borderId="5" fillId="4" fontId="26" numFmtId="164" xfId="0" applyAlignment="1" applyBorder="1" applyFont="1" applyNumberFormat="1">
      <alignment horizontal="left" shrinkToFit="0" vertical="center" wrapText="1"/>
    </xf>
    <xf borderId="5" fillId="4" fontId="26" numFmtId="1" xfId="0" applyAlignment="1" applyBorder="1" applyFont="1" applyNumberFormat="1">
      <alignment horizontal="center" shrinkToFit="0" vertical="center" wrapText="1"/>
    </xf>
    <xf borderId="5" fillId="4" fontId="26" numFmtId="164" xfId="0" applyAlignment="1" applyBorder="1" applyFont="1" applyNumberFormat="1">
      <alignment horizontal="center" shrinkToFit="0" vertical="center" wrapText="1"/>
    </xf>
    <xf borderId="23" fillId="4" fontId="47" numFmtId="0" xfId="0" applyAlignment="1" applyBorder="1" applyFont="1">
      <alignment horizontal="left" shrinkToFit="0" vertical="center" wrapText="1"/>
    </xf>
    <xf borderId="21" fillId="10" fontId="48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readingOrder="0" shrinkToFit="0" vertical="bottom" wrapText="0"/>
    </xf>
    <xf borderId="1" fillId="5" fontId="22" numFmtId="0" xfId="0" applyAlignment="1" applyBorder="1" applyFont="1">
      <alignment horizontal="left" shrinkToFit="0" vertical="center" wrapText="1"/>
    </xf>
    <xf borderId="1" fillId="6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6" fillId="2" fontId="40" numFmtId="164" xfId="0" applyAlignment="1" applyBorder="1" applyFont="1" applyNumberFormat="1">
      <alignment horizontal="left" shrinkToFit="0" vertical="center" wrapText="1"/>
    </xf>
    <xf borderId="28" fillId="0" fontId="4" numFmtId="0" xfId="0" applyBorder="1" applyFont="1"/>
    <xf borderId="13" fillId="2" fontId="49" numFmtId="3" xfId="0" applyAlignment="1" applyBorder="1" applyFont="1" applyNumberFormat="1">
      <alignment horizontal="center" shrinkToFit="0" vertical="center" wrapText="1"/>
    </xf>
    <xf borderId="6" fillId="2" fontId="40" numFmtId="164" xfId="0" applyAlignment="1" applyBorder="1" applyFont="1" applyNumberFormat="1">
      <alignment horizontal="center" shrinkToFit="0" vertical="center" wrapText="1"/>
    </xf>
    <xf borderId="29" fillId="5" fontId="50" numFmtId="0" xfId="0" applyAlignment="1" applyBorder="1" applyFont="1">
      <alignment horizontal="left" shrinkToFit="0" vertical="center" wrapText="1"/>
    </xf>
    <xf borderId="30" fillId="2" fontId="1" numFmtId="0" xfId="0" applyAlignment="1" applyBorder="1" applyFont="1">
      <alignment shrinkToFit="0" vertical="bottom" wrapText="0"/>
    </xf>
    <xf borderId="10" fillId="5" fontId="38" numFmtId="169" xfId="0" applyAlignment="1" applyBorder="1" applyFont="1" applyNumberFormat="1">
      <alignment horizontal="center" shrinkToFit="0" vertical="center" wrapText="1"/>
    </xf>
    <xf borderId="29" fillId="5" fontId="51" numFmtId="0" xfId="0" applyAlignment="1" applyBorder="1" applyFont="1">
      <alignment horizontal="left" shrinkToFit="0" vertical="center" wrapText="1"/>
    </xf>
    <xf borderId="11" fillId="4" fontId="22" numFmtId="0" xfId="0" applyAlignment="1" applyBorder="1" applyFont="1">
      <alignment horizontal="left" shrinkToFit="0" vertical="center" wrapText="1"/>
    </xf>
    <xf borderId="31" fillId="0" fontId="4" numFmtId="0" xfId="0" applyBorder="1" applyFont="1"/>
    <xf borderId="1" fillId="4" fontId="22" numFmtId="0" xfId="0" applyAlignment="1" applyBorder="1" applyFont="1">
      <alignment horizontal="left" shrinkToFit="0" vertical="center" wrapText="1"/>
    </xf>
    <xf borderId="11" fillId="6" fontId="7" numFmtId="0" xfId="0" applyAlignment="1" applyBorder="1" applyFont="1">
      <alignment horizontal="left" shrinkToFit="0" vertical="center" wrapText="1"/>
    </xf>
    <xf borderId="32" fillId="4" fontId="52" numFmtId="168" xfId="0" applyAlignment="1" applyBorder="1" applyFont="1" applyNumberFormat="1">
      <alignment horizontal="center" shrinkToFit="0" vertical="center" wrapText="1"/>
    </xf>
    <xf borderId="33" fillId="4" fontId="53" numFmtId="168" xfId="0" applyAlignment="1" applyBorder="1" applyFont="1" applyNumberFormat="1">
      <alignment horizontal="center" shrinkToFit="0" vertical="center" wrapText="1"/>
    </xf>
    <xf borderId="2" fillId="3" fontId="40" numFmtId="0" xfId="0" applyAlignment="1" applyBorder="1" applyFont="1">
      <alignment horizontal="center" shrinkToFit="0" vertical="center" wrapText="1"/>
    </xf>
    <xf borderId="13" fillId="4" fontId="18" numFmtId="0" xfId="0" applyAlignment="1" applyBorder="1" applyFont="1">
      <alignment horizontal="center" shrinkToFit="0" vertical="center" wrapText="1"/>
    </xf>
    <xf borderId="13" fillId="4" fontId="54" numFmtId="0" xfId="0" applyAlignment="1" applyBorder="1" applyFont="1">
      <alignment horizontal="center" shrinkToFit="0" vertical="center" wrapText="1"/>
    </xf>
    <xf borderId="4" fillId="6" fontId="42" numFmtId="0" xfId="0" applyAlignment="1" applyBorder="1" applyFont="1">
      <alignment horizontal="left" shrinkToFit="0" vertical="center" wrapText="1"/>
    </xf>
    <xf borderId="4" fillId="6" fontId="21" numFmtId="0" xfId="0" applyAlignment="1" applyBorder="1" applyFont="1">
      <alignment horizontal="center" shrinkToFit="0" vertical="center" wrapText="1"/>
    </xf>
    <xf borderId="4" fillId="6" fontId="42" numFmtId="3" xfId="0" applyAlignment="1" applyBorder="1" applyFont="1" applyNumberFormat="1">
      <alignment horizontal="center" shrinkToFit="0" vertical="center" wrapText="1"/>
    </xf>
    <xf borderId="4" fillId="6" fontId="15" numFmtId="164" xfId="0" applyAlignment="1" applyBorder="1" applyFont="1" applyNumberFormat="1">
      <alignment horizontal="center" shrinkToFit="0" vertical="center" wrapText="1"/>
    </xf>
    <xf borderId="11" fillId="5" fontId="42" numFmtId="0" xfId="0" applyAlignment="1" applyBorder="1" applyFont="1">
      <alignment horizontal="left" shrinkToFit="0" vertical="center" wrapText="1"/>
    </xf>
    <xf borderId="34" fillId="0" fontId="4" numFmtId="0" xfId="0" applyBorder="1" applyFont="1"/>
    <xf borderId="35" fillId="4" fontId="26" numFmtId="0" xfId="0" applyAlignment="1" applyBorder="1" applyFont="1">
      <alignment horizontal="center" shrinkToFit="0" vertical="center" wrapText="1"/>
    </xf>
    <xf borderId="36" fillId="5" fontId="1" numFmtId="0" xfId="0" applyAlignment="1" applyBorder="1" applyFont="1">
      <alignment shrinkToFit="0" vertical="bottom" wrapText="0"/>
    </xf>
    <xf borderId="5" fillId="4" fontId="21" numFmtId="3" xfId="0" applyAlignment="1" applyBorder="1" applyFont="1" applyNumberFormat="1">
      <alignment horizontal="center" shrinkToFit="0" vertical="center" wrapText="1"/>
    </xf>
    <xf borderId="21" fillId="4" fontId="55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shrinkToFit="0" vertical="bottom" wrapText="0"/>
    </xf>
    <xf borderId="36" fillId="2" fontId="1" numFmtId="0" xfId="0" applyAlignment="1" applyBorder="1" applyFont="1">
      <alignment shrinkToFit="0" vertical="bottom" wrapText="0"/>
    </xf>
    <xf borderId="36" fillId="6" fontId="1" numFmtId="0" xfId="0" applyAlignment="1" applyBorder="1" applyFont="1">
      <alignment shrinkToFit="0" vertical="bottom" wrapText="0"/>
    </xf>
    <xf borderId="6" fillId="2" fontId="40" numFmtId="0" xfId="0" applyAlignment="1" applyBorder="1" applyFont="1">
      <alignment horizontal="center" shrinkToFit="0" vertical="center" wrapText="1"/>
    </xf>
    <xf borderId="13" fillId="2" fontId="56" numFmtId="3" xfId="0" applyAlignment="1" applyBorder="1" applyFont="1" applyNumberFormat="1">
      <alignment horizontal="center" shrinkToFit="0" vertical="center" wrapText="1"/>
    </xf>
    <xf borderId="6" fillId="2" fontId="11" numFmtId="164" xfId="0" applyAlignment="1" applyBorder="1" applyFont="1" applyNumberFormat="1">
      <alignment horizontal="center" shrinkToFit="0" vertical="center" wrapText="1"/>
    </xf>
    <xf borderId="30" fillId="6" fontId="1" numFmtId="0" xfId="0" applyAlignment="1" applyBorder="1" applyFont="1">
      <alignment shrinkToFit="0" vertical="bottom" wrapText="0"/>
    </xf>
    <xf borderId="10" fillId="5" fontId="52" numFmtId="169" xfId="0" applyAlignment="1" applyBorder="1" applyFont="1" applyNumberFormat="1">
      <alignment horizontal="center" shrinkToFit="0" vertical="center" wrapText="1"/>
    </xf>
    <xf borderId="29" fillId="5" fontId="57" numFmtId="0" xfId="0" applyAlignment="1" applyBorder="1" applyFont="1">
      <alignment horizontal="left" shrinkToFit="0" vertical="center" wrapText="1"/>
    </xf>
    <xf borderId="29" fillId="4" fontId="22" numFmtId="0" xfId="0" applyAlignment="1" applyBorder="1" applyFont="1">
      <alignment horizontal="left" shrinkToFit="0" vertical="center" wrapText="1"/>
    </xf>
    <xf borderId="30" fillId="5" fontId="1" numFmtId="0" xfId="0" applyAlignment="1" applyBorder="1" applyFont="1">
      <alignment shrinkToFit="0" vertical="bottom" wrapText="0"/>
    </xf>
    <xf borderId="2" fillId="14" fontId="58" numFmtId="0" xfId="0" applyAlignment="1" applyBorder="1" applyFill="1" applyFont="1">
      <alignment horizontal="center" shrinkToFit="0" vertical="center" wrapText="1"/>
    </xf>
    <xf borderId="37" fillId="15" fontId="59" numFmtId="0" xfId="0" applyAlignment="1" applyBorder="1" applyFill="1" applyFont="1">
      <alignment horizontal="left" shrinkToFit="0" vertical="center" wrapText="0"/>
    </xf>
    <xf borderId="38" fillId="0" fontId="4" numFmtId="0" xfId="0" applyBorder="1" applyFont="1"/>
    <xf borderId="39" fillId="16" fontId="5" numFmtId="0" xfId="0" applyAlignment="1" applyBorder="1" applyFill="1" applyFont="1">
      <alignment horizontal="left" shrinkToFit="0" vertical="center" wrapText="0"/>
    </xf>
    <xf borderId="40" fillId="0" fontId="4" numFmtId="0" xfId="0" applyBorder="1" applyFont="1"/>
    <xf borderId="2" fillId="14" fontId="40" numFmtId="0" xfId="0" applyAlignment="1" applyBorder="1" applyFont="1">
      <alignment horizontal="center" shrinkToFit="0" vertical="center" wrapText="1"/>
    </xf>
    <xf borderId="13" fillId="4" fontId="60" numFmtId="0" xfId="0" applyAlignment="1" applyBorder="1" applyFont="1">
      <alignment horizontal="center" shrinkToFit="0" vertical="center" wrapText="1"/>
    </xf>
    <xf borderId="37" fillId="4" fontId="59" numFmtId="0" xfId="0" applyAlignment="1" applyBorder="1" applyFont="1">
      <alignment horizontal="center" shrinkToFit="0" vertical="center" wrapText="1"/>
    </xf>
    <xf borderId="41" fillId="4" fontId="61" numFmtId="3" xfId="0" applyAlignment="1" applyBorder="1" applyFont="1" applyNumberFormat="1">
      <alignment horizontal="center" shrinkToFit="0" vertical="center" wrapText="1"/>
    </xf>
    <xf borderId="41" fillId="4" fontId="61" numFmtId="164" xfId="0" applyAlignment="1" applyBorder="1" applyFont="1" applyNumberFormat="1">
      <alignment horizontal="center" shrinkToFit="0" vertical="center" wrapText="1"/>
    </xf>
    <xf borderId="42" fillId="4" fontId="47" numFmtId="0" xfId="0" applyAlignment="1" applyBorder="1" applyFont="1">
      <alignment horizontal="left" shrinkToFit="0" vertical="center" wrapText="1"/>
    </xf>
    <xf borderId="39" fillId="16" fontId="5" numFmtId="0" xfId="0" applyAlignment="1" applyBorder="1" applyFont="1">
      <alignment horizontal="center" shrinkToFit="0" vertical="center" wrapText="0"/>
    </xf>
    <xf borderId="2" fillId="17" fontId="40" numFmtId="0" xfId="0" applyAlignment="1" applyBorder="1" applyFill="1" applyFont="1">
      <alignment horizontal="center" shrinkToFit="0" vertical="center" wrapText="1"/>
    </xf>
    <xf borderId="43" fillId="4" fontId="62" numFmtId="0" xfId="0" applyAlignment="1" applyBorder="1" applyFont="1">
      <alignment horizontal="center" shrinkToFit="0" vertical="center" wrapText="1"/>
    </xf>
    <xf borderId="44" fillId="2" fontId="1" numFmtId="0" xfId="0" applyAlignment="1" applyBorder="1" applyFont="1">
      <alignment shrinkToFit="0" vertical="bottom" wrapText="0"/>
    </xf>
    <xf borderId="45" fillId="4" fontId="63" numFmtId="3" xfId="0" applyAlignment="1" applyBorder="1" applyFont="1" applyNumberFormat="1">
      <alignment horizontal="center" shrinkToFit="0" vertical="center" wrapText="1"/>
    </xf>
    <xf borderId="45" fillId="4" fontId="63" numFmtId="164" xfId="0" applyAlignment="1" applyBorder="1" applyFont="1" applyNumberFormat="1">
      <alignment horizontal="center" shrinkToFit="0" vertical="center" wrapText="1"/>
    </xf>
    <xf borderId="33" fillId="4" fontId="47" numFmtId="0" xfId="0" applyAlignment="1" applyBorder="1" applyFont="1">
      <alignment horizontal="left" shrinkToFit="0" vertical="center" wrapText="1"/>
    </xf>
    <xf borderId="46" fillId="16" fontId="5" numFmtId="0" xfId="0" applyAlignment="1" applyBorder="1" applyFont="1">
      <alignment horizontal="center" shrinkToFit="0" vertical="center" wrapText="0"/>
    </xf>
    <xf borderId="47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445A"/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2.0"/>
    <col customWidth="1" min="2" max="2" width="30.0"/>
    <col customWidth="1" min="3" max="3" width="2.0"/>
    <col customWidth="1" min="4" max="4" width="20.0"/>
    <col customWidth="1" min="5" max="5" width="16.0"/>
    <col customWidth="1" min="6" max="6" width="2.0"/>
    <col customWidth="1" min="7" max="7" width="30.0"/>
    <col customWidth="1" min="8" max="8" width="2.0"/>
    <col customWidth="1" min="9" max="9" width="20.0"/>
    <col customWidth="1" min="10" max="10" width="14.0"/>
    <col customWidth="1" min="11" max="12" width="2.0"/>
    <col customWidth="1" min="13" max="26" width="8.71"/>
  </cols>
  <sheetData>
    <row r="1" ht="22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5" t="s">
        <v>1</v>
      </c>
      <c r="C3" s="4"/>
      <c r="D3" s="4"/>
      <c r="E3" s="4"/>
      <c r="F3" s="4"/>
      <c r="G3" s="4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6" t="s">
        <v>2</v>
      </c>
      <c r="C5" s="4"/>
      <c r="D5" s="4"/>
      <c r="E5" s="4"/>
      <c r="F5" s="1"/>
      <c r="G5" s="6" t="s">
        <v>3</v>
      </c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75" customHeight="1">
      <c r="A6" s="1"/>
      <c r="B6" s="7" t="s">
        <v>4</v>
      </c>
      <c r="C6" s="1"/>
      <c r="D6" s="8">
        <v>68.0</v>
      </c>
      <c r="E6" s="9" t="s">
        <v>5</v>
      </c>
      <c r="F6" s="1"/>
      <c r="G6" s="7" t="s">
        <v>6</v>
      </c>
      <c r="H6" s="1"/>
      <c r="I6" s="10">
        <f>IF(D9="M",10*D6+6.25*D7-5*D8+5,10*D6+6.25*D7-5*D8-161)</f>
        <v>1242.75</v>
      </c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"/>
      <c r="B7" s="7" t="s">
        <v>7</v>
      </c>
      <c r="C7" s="1"/>
      <c r="D7" s="8">
        <v>163.0</v>
      </c>
      <c r="E7" s="9" t="s">
        <v>8</v>
      </c>
      <c r="F7" s="1"/>
      <c r="G7" s="7" t="s">
        <v>9</v>
      </c>
      <c r="H7" s="1"/>
      <c r="I7" s="12">
        <f>I6*D12</f>
        <v>1708.78125</v>
      </c>
      <c r="J7" s="11"/>
      <c r="K7" s="1"/>
      <c r="L7" s="1"/>
      <c r="M7" s="2" t="s">
        <v>10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3.75" customHeight="1">
      <c r="A8" s="1"/>
      <c r="B8" s="7" t="s">
        <v>11</v>
      </c>
      <c r="C8" s="1"/>
      <c r="D8" s="8">
        <v>59.0</v>
      </c>
      <c r="E8" s="9" t="s">
        <v>12</v>
      </c>
      <c r="F8" s="1"/>
      <c r="G8" s="13" t="str">
        <f>"KCAL TARGET (–"&amp;VLOOKUP(D10,$F$20:$G$21,2,0)&amp;" deficit)"</f>
        <v>KCAL TARGET (–500 deficit)</v>
      </c>
      <c r="H8" s="1"/>
      <c r="I8" s="14">
        <f>I7-VLOOKUP(D10,$F$20:$G$21,2,0)</f>
        <v>1208.78125</v>
      </c>
      <c r="J8" s="15"/>
      <c r="K8" s="1"/>
      <c r="L8" s="1"/>
      <c r="M8" s="16" t="s">
        <v>13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3.75" customHeight="1">
      <c r="A9" s="1"/>
      <c r="B9" s="7" t="s">
        <v>14</v>
      </c>
      <c r="C9" s="1"/>
      <c r="D9" s="8" t="s">
        <v>15</v>
      </c>
      <c r="E9" s="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7" t="s">
        <v>16</v>
      </c>
      <c r="C10" s="1"/>
      <c r="D10" s="8" t="s">
        <v>17</v>
      </c>
      <c r="E10" s="9" t="s">
        <v>18</v>
      </c>
      <c r="F10" s="1"/>
      <c r="G10" s="6" t="s">
        <v>19</v>
      </c>
      <c r="H10" s="4"/>
      <c r="I10" s="4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6" t="s">
        <v>20</v>
      </c>
      <c r="C11" s="4"/>
      <c r="D11" s="4"/>
      <c r="E11" s="4"/>
      <c r="F11" s="1"/>
      <c r="G11" s="17" t="s">
        <v>21</v>
      </c>
      <c r="H11" s="1"/>
      <c r="I11" s="18">
        <f>D6*2*4</f>
        <v>544</v>
      </c>
      <c r="J11" s="9" t="s">
        <v>18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9" t="s">
        <v>22</v>
      </c>
      <c r="C12" s="20"/>
      <c r="D12" s="8">
        <v>1.375</v>
      </c>
      <c r="E12" s="21"/>
      <c r="F12" s="1"/>
      <c r="G12" s="17" t="s">
        <v>23</v>
      </c>
      <c r="H12" s="1"/>
      <c r="I12" s="18">
        <f>I8*0.25</f>
        <v>302.1953125</v>
      </c>
      <c r="J12" s="9" t="s">
        <v>18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1"/>
      <c r="C13" s="1"/>
      <c r="D13" s="22">
        <v>1.2</v>
      </c>
      <c r="E13" s="23" t="s">
        <v>24</v>
      </c>
      <c r="F13" s="1"/>
      <c r="G13" s="17" t="s">
        <v>25</v>
      </c>
      <c r="H13" s="1"/>
      <c r="I13" s="18">
        <f>I8-I11-I12</f>
        <v>362.5859375</v>
      </c>
      <c r="J13" s="9" t="s">
        <v>18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1"/>
      <c r="C14" s="1"/>
      <c r="D14" s="22">
        <v>1.375</v>
      </c>
      <c r="E14" s="23" t="s">
        <v>26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1"/>
      <c r="C15" s="1"/>
      <c r="D15" s="22">
        <v>1.55</v>
      </c>
      <c r="E15" s="23" t="s">
        <v>27</v>
      </c>
      <c r="F15" s="1"/>
      <c r="G15" s="6" t="s">
        <v>28</v>
      </c>
      <c r="H15" s="4"/>
      <c r="I15" s="4"/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1"/>
      <c r="C16" s="1"/>
      <c r="D16" s="22">
        <v>1.725</v>
      </c>
      <c r="E16" s="23" t="s">
        <v>29</v>
      </c>
      <c r="F16" s="1"/>
      <c r="G16" s="7" t="s">
        <v>30</v>
      </c>
      <c r="H16" s="1"/>
      <c r="I16" s="24">
        <f>D6/(D7/100)^2</f>
        <v>25.59373706</v>
      </c>
      <c r="J16" s="25" t="str">
        <f>IF(I16&lt;18.5,"⚠ Sottopeso",IF(I16&lt;25,"✅ Normopeso",IF(I16&lt;30,"⚠ Sovrappeso","🔴 Obesità")))</f>
        <v>⚠ Sovrappeso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7.5" customHeight="1">
      <c r="A17" s="1"/>
      <c r="B17" s="1"/>
      <c r="C17" s="1"/>
      <c r="D17" s="22">
        <v>1.9</v>
      </c>
      <c r="E17" s="23" t="s">
        <v>31</v>
      </c>
      <c r="F17" s="1"/>
      <c r="G17" s="26" t="str">
        <f>"Peso attivo: "&amp;TEXT(D6,"0.0")&amp;" kg  [ aggiorna qui quando il peso cambia ]"</f>
        <v>Peso attivo: 68,0 kg  [ aggiorna qui quando il peso cambia ]</v>
      </c>
      <c r="H17" s="15"/>
      <c r="I17" s="15"/>
      <c r="J17" s="1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75" customHeight="1">
      <c r="A18" s="1"/>
      <c r="B18" s="27"/>
      <c r="C18" s="4"/>
      <c r="D18" s="4"/>
      <c r="E18" s="4"/>
      <c r="F18" s="4"/>
      <c r="G18" s="4"/>
      <c r="H18" s="4"/>
      <c r="I18" s="4"/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2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29"/>
      <c r="E20" s="1"/>
      <c r="F20" s="30" t="s">
        <v>17</v>
      </c>
      <c r="G20" s="30">
        <v>500.0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"/>
      <c r="C21" s="1"/>
      <c r="D21" s="1"/>
      <c r="E21" s="1"/>
      <c r="F21" s="30" t="s">
        <v>32</v>
      </c>
      <c r="G21" s="30">
        <v>800.0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G10:J10"/>
    <mergeCell ref="B11:E11"/>
    <mergeCell ref="B12:C12"/>
    <mergeCell ref="G15:J15"/>
    <mergeCell ref="G17:J17"/>
    <mergeCell ref="B18:J18"/>
    <mergeCell ref="B2:J2"/>
    <mergeCell ref="B3:J3"/>
    <mergeCell ref="B5:E5"/>
    <mergeCell ref="G5:J5"/>
    <mergeCell ref="I6:J6"/>
    <mergeCell ref="I7:J7"/>
    <mergeCell ref="I8:J8"/>
  </mergeCells>
  <dataValidations>
    <dataValidation type="list" allowBlank="1" sqref="D12">
      <formula1>$D$13:$D$17</formula1>
    </dataValidation>
    <dataValidation type="list" allowBlank="1" sqref="D10">
      <formula1>$F$20:$F$21</formula1>
    </dataValidation>
    <dataValidation type="list" allowBlank="1" sqref="D9">
      <formula1>"M,F"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0A50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.0"/>
    <col customWidth="1" min="2" max="2" width="60.0"/>
    <col customWidth="1" min="3" max="3" width="14.0"/>
    <col customWidth="1" min="4" max="5" width="16.0"/>
    <col customWidth="1" min="6" max="7" width="13.0"/>
    <col customWidth="1" min="8" max="8" width="22.0"/>
    <col customWidth="1" min="9" max="12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49.5" customHeight="1">
      <c r="A2" s="1"/>
      <c r="B2" s="32" t="s">
        <v>33</v>
      </c>
      <c r="C2" s="4"/>
      <c r="D2" s="4"/>
      <c r="E2" s="4"/>
      <c r="F2" s="4"/>
      <c r="G2" s="4"/>
      <c r="H2" s="4"/>
      <c r="I2" s="1"/>
      <c r="J2" s="1"/>
      <c r="K2" s="1"/>
      <c r="L2" s="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33.75" customHeight="1">
      <c r="A4" s="1"/>
      <c r="B4" s="33" t="s">
        <v>34</v>
      </c>
      <c r="C4" s="33" t="s">
        <v>35</v>
      </c>
      <c r="D4" s="33" t="s">
        <v>36</v>
      </c>
      <c r="E4" s="33" t="s">
        <v>37</v>
      </c>
      <c r="F4" s="33" t="s">
        <v>38</v>
      </c>
      <c r="G4" s="33" t="s">
        <v>39</v>
      </c>
      <c r="H4" s="33" t="s">
        <v>40</v>
      </c>
      <c r="I4" s="1"/>
      <c r="J4" s="1"/>
      <c r="K4" s="1"/>
      <c r="L4" s="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5.5" customHeight="1">
      <c r="A5" s="1"/>
      <c r="B5" s="34" t="s">
        <v>41</v>
      </c>
      <c r="C5" s="35"/>
      <c r="D5" s="35"/>
      <c r="E5" s="35"/>
      <c r="F5" s="35"/>
      <c r="G5" s="35"/>
      <c r="H5" s="35"/>
      <c r="I5" s="1"/>
      <c r="J5" s="1"/>
      <c r="K5" s="1"/>
      <c r="L5" s="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5.5" customHeight="1">
      <c r="A6" s="1"/>
      <c r="B6" s="36" t="s">
        <v>42</v>
      </c>
      <c r="C6" s="37"/>
      <c r="D6" s="37"/>
      <c r="E6" s="37"/>
      <c r="F6" s="37"/>
      <c r="G6" s="37"/>
      <c r="H6" s="37"/>
      <c r="I6" s="1"/>
      <c r="J6" s="1"/>
      <c r="K6" s="1"/>
      <c r="L6" s="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5.5" customHeight="1">
      <c r="A7" s="1"/>
      <c r="B7" s="34" t="s">
        <v>43</v>
      </c>
      <c r="C7" s="35"/>
      <c r="D7" s="35"/>
      <c r="E7" s="35"/>
      <c r="F7" s="35"/>
      <c r="G7" s="35"/>
      <c r="H7" s="35"/>
      <c r="I7" s="1"/>
      <c r="J7" s="1"/>
      <c r="K7" s="1"/>
      <c r="L7" s="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5.5" customHeight="1">
      <c r="A8" s="1"/>
      <c r="B8" s="36" t="s">
        <v>44</v>
      </c>
      <c r="C8" s="37"/>
      <c r="D8" s="37"/>
      <c r="E8" s="37"/>
      <c r="F8" s="37"/>
      <c r="G8" s="37"/>
      <c r="H8" s="37"/>
      <c r="I8" s="1"/>
      <c r="J8" s="1"/>
      <c r="K8" s="1"/>
      <c r="L8" s="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5.5" customHeight="1">
      <c r="A9" s="1"/>
      <c r="B9" s="34" t="s">
        <v>45</v>
      </c>
      <c r="C9" s="35"/>
      <c r="D9" s="35"/>
      <c r="E9" s="35"/>
      <c r="F9" s="35"/>
      <c r="G9" s="35"/>
      <c r="H9" s="35"/>
      <c r="I9" s="1"/>
      <c r="J9" s="1"/>
      <c r="K9" s="1"/>
      <c r="L9" s="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25.5" customHeight="1">
      <c r="A10" s="1"/>
      <c r="B10" s="36" t="s">
        <v>46</v>
      </c>
      <c r="C10" s="37"/>
      <c r="D10" s="37"/>
      <c r="E10" s="37"/>
      <c r="F10" s="37"/>
      <c r="G10" s="37"/>
      <c r="H10" s="37"/>
      <c r="I10" s="1"/>
      <c r="J10" s="1"/>
      <c r="K10" s="1"/>
      <c r="L10" s="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5.5" customHeight="1">
      <c r="A11" s="1"/>
      <c r="B11" s="34" t="s">
        <v>47</v>
      </c>
      <c r="C11" s="35"/>
      <c r="D11" s="35"/>
      <c r="E11" s="35"/>
      <c r="F11" s="35"/>
      <c r="G11" s="35"/>
      <c r="H11" s="35"/>
      <c r="I11" s="1"/>
      <c r="J11" s="1"/>
      <c r="K11" s="1"/>
      <c r="L11" s="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30.0" customHeight="1">
      <c r="A12" s="1"/>
      <c r="B12" s="38" t="s">
        <v>48</v>
      </c>
      <c r="C12" s="39" t="str">
        <f t="shared" ref="C12:H12" si="1">IFERROR(AVERAGE(C5:C11),"")</f>
        <v/>
      </c>
      <c r="D12" s="39" t="str">
        <f t="shared" si="1"/>
        <v/>
      </c>
      <c r="E12" s="39" t="str">
        <f t="shared" si="1"/>
        <v/>
      </c>
      <c r="F12" s="39" t="str">
        <f t="shared" si="1"/>
        <v/>
      </c>
      <c r="G12" s="39" t="str">
        <f t="shared" si="1"/>
        <v/>
      </c>
      <c r="H12" s="39" t="str">
        <f t="shared" si="1"/>
        <v/>
      </c>
      <c r="I12" s="1"/>
      <c r="J12" s="1"/>
      <c r="K12" s="1"/>
      <c r="L12" s="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9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9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ht="36.0" customHeight="1">
      <c r="A15" s="1"/>
      <c r="B15" s="40" t="s">
        <v>49</v>
      </c>
      <c r="C15" s="41"/>
      <c r="D15" s="41"/>
      <c r="E15" s="41"/>
      <c r="F15" s="41"/>
      <c r="G15" s="41"/>
      <c r="H15" s="42"/>
      <c r="I15" s="1"/>
      <c r="J15" s="1"/>
      <c r="K15" s="1"/>
      <c r="L15" s="1"/>
    </row>
    <row r="16" ht="33.75" customHeight="1">
      <c r="A16" s="1"/>
      <c r="B16" s="43" t="s">
        <v>50</v>
      </c>
      <c r="C16" s="41"/>
      <c r="D16" s="41"/>
      <c r="E16" s="41"/>
      <c r="F16" s="41"/>
      <c r="G16" s="41"/>
      <c r="H16" s="42"/>
      <c r="I16" s="1"/>
      <c r="J16" s="1"/>
      <c r="K16" s="1"/>
      <c r="L16" s="1"/>
    </row>
    <row r="17" ht="33.75" customHeight="1">
      <c r="A17" s="1"/>
      <c r="B17" s="44" t="s">
        <v>51</v>
      </c>
      <c r="C17" s="44" t="s">
        <v>52</v>
      </c>
      <c r="D17" s="44" t="s">
        <v>53</v>
      </c>
      <c r="E17" s="44" t="s">
        <v>54</v>
      </c>
      <c r="F17" s="44" t="s">
        <v>55</v>
      </c>
      <c r="G17" s="44" t="s">
        <v>56</v>
      </c>
      <c r="H17" s="44" t="s">
        <v>57</v>
      </c>
      <c r="I17" s="1"/>
      <c r="J17" s="1"/>
      <c r="K17" s="1"/>
      <c r="L17" s="1"/>
    </row>
    <row r="18" ht="25.5" customHeight="1">
      <c r="A18" s="1"/>
      <c r="B18" s="45" t="s">
        <v>58</v>
      </c>
      <c r="C18" s="46"/>
      <c r="D18" s="46"/>
      <c r="E18" s="46"/>
      <c r="F18" s="46"/>
      <c r="G18" s="46"/>
      <c r="H18" s="46"/>
      <c r="I18" s="1"/>
      <c r="J18" s="1"/>
      <c r="K18" s="1"/>
      <c r="L18" s="1"/>
    </row>
    <row r="19" ht="25.5" customHeight="1">
      <c r="A19" s="1"/>
      <c r="B19" s="47" t="s">
        <v>59</v>
      </c>
      <c r="C19" s="46"/>
      <c r="D19" s="46"/>
      <c r="E19" s="46"/>
      <c r="F19" s="46"/>
      <c r="G19" s="46"/>
      <c r="H19" s="46"/>
      <c r="I19" s="1"/>
      <c r="J19" s="1"/>
      <c r="K19" s="1"/>
      <c r="L19" s="1"/>
    </row>
    <row r="20" ht="25.5" customHeight="1">
      <c r="A20" s="1"/>
      <c r="B20" s="45" t="s">
        <v>60</v>
      </c>
      <c r="C20" s="48"/>
      <c r="D20" s="49"/>
      <c r="E20" s="50"/>
      <c r="F20" s="50"/>
      <c r="G20" s="49"/>
      <c r="H20" s="49"/>
      <c r="I20" s="1"/>
      <c r="J20" s="1"/>
      <c r="K20" s="1"/>
      <c r="L20" s="1"/>
    </row>
    <row r="21" ht="25.5" customHeight="1">
      <c r="A21" s="1"/>
      <c r="B21" s="47" t="s">
        <v>61</v>
      </c>
      <c r="C21" s="46"/>
      <c r="D21" s="46"/>
      <c r="E21" s="46"/>
      <c r="F21" s="46"/>
      <c r="G21" s="46"/>
      <c r="H21" s="46"/>
      <c r="I21" s="1"/>
      <c r="J21" s="1"/>
      <c r="K21" s="1"/>
      <c r="L21" s="1"/>
    </row>
    <row r="22" ht="25.5" customHeight="1">
      <c r="A22" s="1"/>
      <c r="B22" s="45" t="s">
        <v>62</v>
      </c>
      <c r="C22" s="46"/>
      <c r="D22" s="46"/>
      <c r="E22" s="46"/>
      <c r="F22" s="46"/>
      <c r="G22" s="46"/>
      <c r="H22" s="46"/>
      <c r="I22" s="1"/>
      <c r="J22" s="1"/>
      <c r="K22" s="1"/>
      <c r="L22" s="1"/>
    </row>
    <row r="23" ht="25.5" customHeight="1">
      <c r="A23" s="1"/>
      <c r="B23" s="47" t="s">
        <v>63</v>
      </c>
      <c r="C23" s="48"/>
      <c r="D23" s="49"/>
      <c r="E23" s="50"/>
      <c r="F23" s="50"/>
      <c r="G23" s="49"/>
      <c r="H23" s="49"/>
      <c r="I23" s="1"/>
      <c r="J23" s="1"/>
      <c r="K23" s="1"/>
      <c r="L23" s="1"/>
    </row>
    <row r="24" ht="25.5" customHeight="1">
      <c r="A24" s="1"/>
      <c r="B24" s="45" t="s">
        <v>64</v>
      </c>
      <c r="C24" s="46"/>
      <c r="D24" s="46"/>
      <c r="E24" s="46"/>
      <c r="F24" s="46"/>
      <c r="G24" s="46"/>
      <c r="H24" s="46"/>
      <c r="I24" s="1"/>
      <c r="J24" s="1"/>
      <c r="K24" s="1"/>
      <c r="L24" s="1"/>
    </row>
    <row r="25" ht="25.5" customHeight="1">
      <c r="A25" s="1"/>
      <c r="B25" s="47" t="s">
        <v>65</v>
      </c>
      <c r="C25" s="46"/>
      <c r="D25" s="46"/>
      <c r="E25" s="46"/>
      <c r="F25" s="46"/>
      <c r="G25" s="46"/>
      <c r="H25" s="46"/>
      <c r="I25" s="1"/>
      <c r="J25" s="1"/>
      <c r="K25" s="1"/>
      <c r="L25" s="1"/>
    </row>
    <row r="26" ht="30.0" customHeight="1">
      <c r="A26" s="1"/>
      <c r="B26" s="51" t="s">
        <v>66</v>
      </c>
      <c r="C26" s="51"/>
      <c r="D26" s="52">
        <f t="shared" ref="D26:H26" si="2">IFERROR(D25-D18,"")</f>
        <v>0</v>
      </c>
      <c r="E26" s="53">
        <f t="shared" si="2"/>
        <v>0</v>
      </c>
      <c r="F26" s="53">
        <f t="shared" si="2"/>
        <v>0</v>
      </c>
      <c r="G26" s="52">
        <f t="shared" si="2"/>
        <v>0</v>
      </c>
      <c r="H26" s="52">
        <f t="shared" si="2"/>
        <v>0</v>
      </c>
      <c r="I26" s="1"/>
      <c r="J26" s="1"/>
      <c r="K26" s="1"/>
      <c r="L26" s="1"/>
    </row>
    <row r="27" ht="26.25" customHeight="1">
      <c r="A27" s="1"/>
      <c r="B27" s="54" t="s">
        <v>67</v>
      </c>
      <c r="C27" s="4"/>
      <c r="D27" s="4"/>
      <c r="E27" s="4"/>
      <c r="F27" s="4"/>
      <c r="G27" s="4"/>
      <c r="H27" s="4"/>
      <c r="I27" s="1"/>
      <c r="J27" s="1"/>
      <c r="K27" s="1"/>
      <c r="L27" s="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6.25" customHeight="1">
      <c r="A28" s="1"/>
      <c r="B28" s="55" t="s">
        <v>68</v>
      </c>
      <c r="C28" s="56"/>
      <c r="D28" s="56"/>
      <c r="E28" s="56"/>
      <c r="F28" s="56"/>
      <c r="G28" s="56"/>
      <c r="H28" s="56"/>
      <c r="I28" s="1"/>
      <c r="J28" s="1"/>
      <c r="K28" s="1"/>
      <c r="L28" s="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35.25" customHeight="1">
      <c r="A29" s="1"/>
      <c r="B29" s="57" t="s">
        <v>69</v>
      </c>
      <c r="C29" s="20"/>
      <c r="D29" s="20"/>
      <c r="E29" s="20"/>
      <c r="F29" s="20"/>
      <c r="G29" s="20"/>
      <c r="H29" s="20"/>
      <c r="I29" s="1"/>
      <c r="J29" s="1"/>
      <c r="K29" s="1"/>
      <c r="L29" s="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5.5" customHeight="1">
      <c r="A30" s="1"/>
      <c r="B30" s="58"/>
      <c r="C30" s="4"/>
      <c r="D30" s="4"/>
      <c r="E30" s="4"/>
      <c r="F30" s="4"/>
      <c r="G30" s="4"/>
      <c r="H30" s="4"/>
      <c r="I30" s="1"/>
      <c r="J30" s="1"/>
      <c r="K30" s="1"/>
      <c r="L30" s="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60.0" customHeight="1">
      <c r="A31" s="1"/>
      <c r="B31" s="55" t="s">
        <v>70</v>
      </c>
      <c r="C31" s="56"/>
      <c r="D31" s="56"/>
      <c r="E31" s="56"/>
      <c r="F31" s="56"/>
      <c r="G31" s="56"/>
      <c r="H31" s="56"/>
      <c r="I31" s="1"/>
      <c r="J31" s="1"/>
      <c r="K31" s="1"/>
      <c r="L31" s="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4.75" customHeight="1">
      <c r="A32" s="1"/>
      <c r="B32" s="57" t="s">
        <v>71</v>
      </c>
      <c r="C32" s="20"/>
      <c r="D32" s="20"/>
      <c r="E32" s="20"/>
      <c r="F32" s="20"/>
      <c r="G32" s="20"/>
      <c r="H32" s="20"/>
      <c r="I32" s="1"/>
      <c r="J32" s="1"/>
      <c r="K32" s="1"/>
      <c r="L32" s="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25.5" customHeight="1">
      <c r="A33" s="1"/>
      <c r="B33" s="58"/>
      <c r="C33" s="4"/>
      <c r="D33" s="4"/>
      <c r="E33" s="4"/>
      <c r="F33" s="4"/>
      <c r="G33" s="4"/>
      <c r="H33" s="4"/>
      <c r="I33" s="1"/>
      <c r="J33" s="1"/>
      <c r="K33" s="1"/>
      <c r="L33" s="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60.0" customHeight="1">
      <c r="A34" s="1"/>
      <c r="B34" s="55" t="s">
        <v>72</v>
      </c>
      <c r="C34" s="56"/>
      <c r="D34" s="56"/>
      <c r="E34" s="56"/>
      <c r="F34" s="56"/>
      <c r="G34" s="56"/>
      <c r="H34" s="56"/>
      <c r="I34" s="1"/>
      <c r="J34" s="1"/>
      <c r="K34" s="1"/>
      <c r="L34" s="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1.75" customHeight="1">
      <c r="A35" s="1"/>
      <c r="B35" s="57" t="s">
        <v>73</v>
      </c>
      <c r="C35" s="20"/>
      <c r="D35" s="20"/>
      <c r="E35" s="20"/>
      <c r="F35" s="20"/>
      <c r="G35" s="20"/>
      <c r="H35" s="20"/>
      <c r="I35" s="1"/>
      <c r="J35" s="1"/>
      <c r="K35" s="1"/>
      <c r="L35" s="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0" customHeight="1">
      <c r="A37" s="1"/>
      <c r="B37" s="55" t="s">
        <v>74</v>
      </c>
      <c r="C37" s="56"/>
      <c r="D37" s="56"/>
      <c r="E37" s="56"/>
      <c r="F37" s="56"/>
      <c r="G37" s="56"/>
      <c r="H37" s="56"/>
      <c r="I37" s="1"/>
      <c r="J37" s="1"/>
      <c r="K37" s="1"/>
      <c r="L37" s="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0" customHeight="1">
      <c r="A38" s="1"/>
      <c r="B38" s="57" t="s">
        <v>75</v>
      </c>
      <c r="C38" s="20"/>
      <c r="D38" s="20"/>
      <c r="E38" s="20"/>
      <c r="F38" s="20"/>
      <c r="G38" s="20"/>
      <c r="H38" s="20"/>
      <c r="I38" s="1"/>
      <c r="J38" s="1"/>
      <c r="K38" s="1"/>
      <c r="L38" s="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0" customHeight="1">
      <c r="A40" s="1"/>
      <c r="B40" s="55" t="s">
        <v>76</v>
      </c>
      <c r="C40" s="56"/>
      <c r="D40" s="56"/>
      <c r="E40" s="56"/>
      <c r="F40" s="56"/>
      <c r="G40" s="56"/>
      <c r="H40" s="56"/>
      <c r="I40" s="1"/>
      <c r="J40" s="1"/>
      <c r="K40" s="1"/>
      <c r="L40" s="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0" customHeight="1">
      <c r="A41" s="1"/>
      <c r="B41" s="57" t="s">
        <v>77</v>
      </c>
      <c r="C41" s="20"/>
      <c r="D41" s="20"/>
      <c r="E41" s="20"/>
      <c r="F41" s="20"/>
      <c r="G41" s="20"/>
      <c r="H41" s="20"/>
      <c r="I41" s="1"/>
      <c r="J41" s="1"/>
      <c r="K41" s="1"/>
      <c r="L41" s="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0" customHeight="1">
      <c r="A43" s="1"/>
      <c r="B43" s="55" t="s">
        <v>78</v>
      </c>
      <c r="C43" s="56"/>
      <c r="D43" s="56"/>
      <c r="E43" s="56"/>
      <c r="F43" s="56"/>
      <c r="G43" s="56"/>
      <c r="H43" s="56"/>
      <c r="I43" s="1"/>
      <c r="J43" s="1"/>
      <c r="K43" s="1"/>
      <c r="L43" s="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0" customHeight="1">
      <c r="A44" s="1"/>
      <c r="B44" s="57" t="s">
        <v>79</v>
      </c>
      <c r="C44" s="20"/>
      <c r="D44" s="20"/>
      <c r="E44" s="20"/>
      <c r="F44" s="20"/>
      <c r="G44" s="20"/>
      <c r="H44" s="20"/>
      <c r="I44" s="1"/>
      <c r="J44" s="1"/>
      <c r="K44" s="1"/>
      <c r="L44" s="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0" customHeight="1">
      <c r="A46" s="1"/>
      <c r="B46" s="55" t="s">
        <v>80</v>
      </c>
      <c r="C46" s="56"/>
      <c r="D46" s="56"/>
      <c r="E46" s="56"/>
      <c r="F46" s="56"/>
      <c r="G46" s="56"/>
      <c r="H46" s="56"/>
      <c r="I46" s="1"/>
      <c r="J46" s="1"/>
      <c r="K46" s="1"/>
      <c r="L46" s="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0" customHeight="1">
      <c r="A47" s="1"/>
      <c r="B47" s="57" t="s">
        <v>81</v>
      </c>
      <c r="C47" s="20"/>
      <c r="D47" s="20"/>
      <c r="E47" s="20"/>
      <c r="F47" s="20"/>
      <c r="G47" s="20"/>
      <c r="H47" s="20"/>
      <c r="I47" s="1"/>
      <c r="J47" s="1"/>
      <c r="K47" s="1"/>
      <c r="L47" s="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2:H2"/>
    <mergeCell ref="B15:H15"/>
    <mergeCell ref="B16:H16"/>
    <mergeCell ref="B27:H27"/>
    <mergeCell ref="B28:H28"/>
    <mergeCell ref="B29:H29"/>
    <mergeCell ref="B30:H30"/>
    <mergeCell ref="B40:H40"/>
    <mergeCell ref="B41:H41"/>
    <mergeCell ref="B43:H43"/>
    <mergeCell ref="B44:H44"/>
    <mergeCell ref="B46:H46"/>
    <mergeCell ref="B47:H47"/>
    <mergeCell ref="B31:H31"/>
    <mergeCell ref="B32:H32"/>
    <mergeCell ref="B33:H33"/>
    <mergeCell ref="B34:H34"/>
    <mergeCell ref="B35:H35"/>
    <mergeCell ref="B37:H37"/>
    <mergeCell ref="B38:H3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90D9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90.0"/>
    <col customWidth="1" min="3" max="3" width="3.0"/>
    <col customWidth="1" min="4" max="6" width="8.71"/>
  </cols>
  <sheetData>
    <row r="1" ht="6.0" customHeight="1">
      <c r="A1" s="1"/>
      <c r="B1" s="1"/>
      <c r="C1" s="1"/>
      <c r="D1" s="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49.5" customHeight="1">
      <c r="A2" s="1"/>
      <c r="B2" s="59" t="s">
        <v>82</v>
      </c>
      <c r="C2" s="1"/>
      <c r="D2" s="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7.5" customHeight="1">
      <c r="A3" s="1"/>
      <c r="B3" s="1"/>
      <c r="C3" s="1"/>
      <c r="D3" s="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31.5" customHeight="1">
      <c r="A4" s="1"/>
      <c r="B4" s="60" t="s">
        <v>83</v>
      </c>
      <c r="C4" s="1"/>
      <c r="D4" s="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48.0" customHeight="1">
      <c r="A5" s="1"/>
      <c r="B5" s="61" t="s">
        <v>84</v>
      </c>
      <c r="C5" s="1"/>
      <c r="D5" s="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43.5" customHeight="1">
      <c r="A6" s="1"/>
      <c r="B6" s="17" t="s">
        <v>85</v>
      </c>
      <c r="C6" s="1"/>
      <c r="D6" s="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31.5" customHeight="1">
      <c r="A7" s="1"/>
      <c r="B7" s="60" t="s">
        <v>86</v>
      </c>
      <c r="C7" s="1"/>
      <c r="D7" s="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43.5" customHeight="1">
      <c r="A8" s="1"/>
      <c r="B8" s="17" t="s">
        <v>87</v>
      </c>
      <c r="C8" s="1"/>
      <c r="D8" s="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43.5" customHeight="1">
      <c r="A9" s="1"/>
      <c r="B9" s="61" t="s">
        <v>88</v>
      </c>
      <c r="C9" s="1"/>
      <c r="D9" s="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43.5" customHeight="1">
      <c r="A10" s="1"/>
      <c r="B10" s="17" t="s">
        <v>89</v>
      </c>
      <c r="C10" s="1"/>
      <c r="D10" s="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31.5" customHeight="1">
      <c r="A11" s="1"/>
      <c r="B11" s="60" t="s">
        <v>90</v>
      </c>
      <c r="C11" s="1"/>
      <c r="D11" s="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43.5" customHeight="1">
      <c r="A12" s="1"/>
      <c r="B12" s="17" t="s">
        <v>91</v>
      </c>
      <c r="C12" s="1"/>
      <c r="D12" s="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43.5" customHeight="1">
      <c r="A13" s="1"/>
      <c r="B13" s="61" t="s">
        <v>92</v>
      </c>
      <c r="C13" s="1"/>
      <c r="D13" s="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43.5" customHeight="1">
      <c r="A14" s="1"/>
      <c r="B14" s="17" t="s">
        <v>93</v>
      </c>
      <c r="C14" s="1"/>
      <c r="D14" s="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43.5" customHeight="1">
      <c r="A15" s="1"/>
      <c r="B15" s="61" t="s">
        <v>94</v>
      </c>
      <c r="C15" s="1"/>
      <c r="D15" s="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31.5" customHeight="1">
      <c r="A16" s="1"/>
      <c r="B16" s="60" t="s">
        <v>95</v>
      </c>
      <c r="C16" s="1"/>
      <c r="D16" s="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63.75" customHeight="1">
      <c r="A17" s="1"/>
      <c r="B17" s="61" t="s">
        <v>96</v>
      </c>
      <c r="C17" s="1"/>
      <c r="D17" s="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31.5" customHeight="1">
      <c r="A18" s="1"/>
      <c r="B18" s="60" t="s">
        <v>97</v>
      </c>
      <c r="C18" s="1"/>
      <c r="D18" s="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43.5" customHeight="1">
      <c r="A19" s="1"/>
      <c r="B19" s="61" t="s">
        <v>98</v>
      </c>
      <c r="C19" s="1"/>
      <c r="D19" s="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43.5" customHeight="1">
      <c r="A20" s="1"/>
      <c r="B20" s="17" t="s">
        <v>99</v>
      </c>
      <c r="C20" s="1"/>
      <c r="D20" s="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43.5" customHeight="1">
      <c r="A21" s="1"/>
      <c r="B21" s="61" t="s">
        <v>100</v>
      </c>
      <c r="C21" s="1"/>
      <c r="D21" s="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43.5" customHeight="1">
      <c r="A22" s="1"/>
      <c r="B22" s="17" t="s">
        <v>101</v>
      </c>
      <c r="C22" s="1"/>
      <c r="D22" s="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43.5" customHeight="1">
      <c r="A23" s="1"/>
      <c r="B23" s="61" t="s">
        <v>102</v>
      </c>
      <c r="C23" s="1"/>
      <c r="D23" s="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31.5" customHeight="1">
      <c r="A24" s="1"/>
      <c r="B24" s="60" t="s">
        <v>103</v>
      </c>
      <c r="C24" s="1"/>
      <c r="D24" s="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43.5" customHeight="1">
      <c r="A25" s="1"/>
      <c r="B25" s="61" t="s">
        <v>104</v>
      </c>
      <c r="C25" s="1"/>
      <c r="D25" s="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43.5" customHeight="1">
      <c r="A26" s="1"/>
      <c r="B26" s="17" t="s">
        <v>105</v>
      </c>
      <c r="C26" s="1"/>
      <c r="D26" s="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43.5" customHeight="1">
      <c r="A27" s="1"/>
      <c r="B27" s="61" t="s">
        <v>106</v>
      </c>
      <c r="C27" s="1"/>
      <c r="D27" s="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43.5" customHeight="1">
      <c r="A28" s="1"/>
      <c r="B28" s="17" t="s">
        <v>107</v>
      </c>
      <c r="C28" s="1"/>
      <c r="D28" s="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43.5" customHeight="1">
      <c r="A29" s="1"/>
      <c r="B29" s="61" t="s">
        <v>108</v>
      </c>
      <c r="C29" s="1"/>
      <c r="D29" s="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31.5" customHeight="1">
      <c r="A30" s="1"/>
      <c r="B30" s="60" t="s">
        <v>109</v>
      </c>
      <c r="C30" s="1"/>
      <c r="D30" s="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63.75" customHeight="1">
      <c r="A31" s="1"/>
      <c r="B31" s="61" t="s">
        <v>110</v>
      </c>
      <c r="C31" s="1"/>
      <c r="D31" s="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0" customHeight="1">
      <c r="A32" s="1"/>
      <c r="B32" s="1"/>
      <c r="C32" s="1"/>
      <c r="D32" s="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0" customHeight="1">
      <c r="A33" s="1"/>
      <c r="B33" s="1"/>
      <c r="C33" s="1"/>
      <c r="D33" s="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0" customHeight="1">
      <c r="A34" s="1"/>
      <c r="B34" s="1"/>
      <c r="C34" s="1"/>
      <c r="D34" s="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0" customHeight="1">
      <c r="A35" s="1"/>
      <c r="B35" s="1"/>
      <c r="C35" s="1"/>
      <c r="D35" s="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0" customHeight="1">
      <c r="A36" s="1"/>
      <c r="B36" s="1"/>
      <c r="C36" s="1"/>
      <c r="D36" s="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0" customHeight="1">
      <c r="A37" s="1"/>
      <c r="B37" s="1"/>
      <c r="C37" s="1"/>
      <c r="D37" s="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0" customHeight="1">
      <c r="A38" s="1"/>
      <c r="B38" s="1"/>
      <c r="C38" s="1"/>
      <c r="D38" s="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0" customHeight="1">
      <c r="A39" s="1"/>
      <c r="B39" s="1"/>
      <c r="C39" s="1"/>
      <c r="D39" s="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0" customHeight="1">
      <c r="A40" s="1"/>
      <c r="B40" s="1"/>
      <c r="C40" s="1"/>
      <c r="D40" s="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0" customHeight="1">
      <c r="A41" s="1"/>
      <c r="B41" s="1"/>
      <c r="C41" s="1"/>
      <c r="D41" s="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0" customHeight="1">
      <c r="A42" s="1"/>
      <c r="B42" s="1"/>
      <c r="C42" s="1"/>
      <c r="D42" s="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0" customHeight="1">
      <c r="A43" s="1"/>
      <c r="B43" s="1"/>
      <c r="C43" s="1"/>
      <c r="D43" s="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0" customHeight="1">
      <c r="A44" s="1"/>
      <c r="B44" s="1"/>
      <c r="C44" s="1"/>
      <c r="D44" s="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0" customHeight="1">
      <c r="A45" s="1"/>
      <c r="B45" s="1"/>
      <c r="C45" s="1"/>
      <c r="D45" s="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0" customHeight="1">
      <c r="A46" s="1"/>
      <c r="B46" s="1"/>
      <c r="C46" s="1"/>
      <c r="D46" s="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0" customHeight="1">
      <c r="A47" s="1"/>
      <c r="B47" s="1"/>
      <c r="C47" s="1"/>
      <c r="D47" s="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0" customHeight="1">
      <c r="A48" s="1"/>
      <c r="B48" s="1"/>
      <c r="C48" s="1"/>
      <c r="D48" s="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0" customHeight="1">
      <c r="A49" s="1"/>
      <c r="B49" s="1"/>
      <c r="C49" s="1"/>
      <c r="D49" s="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0" customHeight="1">
      <c r="A50" s="1"/>
      <c r="B50" s="1"/>
      <c r="C50" s="1"/>
      <c r="D50" s="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0" customHeight="1">
      <c r="A51" s="1"/>
      <c r="B51" s="1"/>
      <c r="C51" s="1"/>
      <c r="D51" s="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0" customHeight="1">
      <c r="A52" s="1"/>
      <c r="B52" s="1"/>
      <c r="C52" s="1"/>
      <c r="D52" s="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0" customHeight="1">
      <c r="A53" s="1"/>
      <c r="B53" s="1"/>
      <c r="C53" s="1"/>
      <c r="D53" s="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0" customHeight="1">
      <c r="A54" s="1"/>
      <c r="B54" s="1"/>
      <c r="C54" s="1"/>
      <c r="D54" s="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0" customHeight="1">
      <c r="A55" s="1"/>
      <c r="B55" s="1"/>
      <c r="C55" s="1"/>
      <c r="D55" s="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0" customHeight="1">
      <c r="A56" s="1"/>
      <c r="B56" s="1"/>
      <c r="C56" s="1"/>
      <c r="D56" s="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0" customHeight="1">
      <c r="A57" s="1"/>
      <c r="B57" s="1"/>
      <c r="C57" s="1"/>
      <c r="D57" s="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0" customHeight="1">
      <c r="A58" s="1"/>
      <c r="B58" s="1"/>
      <c r="C58" s="1"/>
      <c r="D58" s="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0" customHeight="1">
      <c r="A59" s="1"/>
      <c r="B59" s="1"/>
      <c r="C59" s="1"/>
      <c r="D59" s="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0" customHeight="1">
      <c r="A60" s="1"/>
      <c r="B60" s="1"/>
      <c r="C60" s="1"/>
      <c r="D60" s="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0" customHeight="1">
      <c r="A61" s="1"/>
      <c r="B61" s="1"/>
      <c r="C61" s="1"/>
      <c r="D61" s="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0" customHeight="1">
      <c r="A62" s="1"/>
      <c r="B62" s="1"/>
      <c r="C62" s="1"/>
      <c r="D62" s="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0" customHeight="1">
      <c r="A63" s="1"/>
      <c r="B63" s="1"/>
      <c r="C63" s="1"/>
      <c r="D63" s="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0" customHeight="1">
      <c r="A64" s="1"/>
      <c r="B64" s="1"/>
      <c r="C64" s="1"/>
      <c r="D64" s="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0" customHeight="1">
      <c r="A65" s="1"/>
      <c r="B65" s="1"/>
      <c r="C65" s="1"/>
      <c r="D65" s="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0" customHeight="1">
      <c r="A66" s="1"/>
      <c r="B66" s="1"/>
      <c r="C66" s="1"/>
      <c r="D66" s="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0" customHeight="1">
      <c r="A67" s="1"/>
      <c r="B67" s="1"/>
      <c r="C67" s="1"/>
      <c r="D67" s="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0" customHeight="1">
      <c r="A68" s="1"/>
      <c r="B68" s="1"/>
      <c r="C68" s="1"/>
      <c r="D68" s="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0" customHeight="1">
      <c r="A69" s="1"/>
      <c r="B69" s="1"/>
      <c r="C69" s="1"/>
      <c r="D69" s="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0" customHeight="1">
      <c r="A70" s="1"/>
      <c r="B70" s="1"/>
      <c r="C70" s="1"/>
      <c r="D70" s="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2.0"/>
    <col customWidth="1" min="2" max="2" width="28.0"/>
    <col customWidth="1" min="3" max="4" width="10.0"/>
    <col customWidth="1" min="5" max="5" width="14.29"/>
    <col customWidth="1" min="6" max="7" width="10.0"/>
    <col customWidth="1" min="8" max="8" width="2.0"/>
    <col customWidth="1" min="9" max="9" width="80.0"/>
    <col customWidth="1" min="10" max="10" width="2.0"/>
    <col customWidth="1" min="11" max="11" width="80.0"/>
    <col customWidth="1" min="12" max="14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54.75" customHeight="1">
      <c r="A2" s="1"/>
      <c r="B2" s="32" t="s">
        <v>111</v>
      </c>
      <c r="C2" s="4"/>
      <c r="D2" s="4"/>
      <c r="E2" s="4"/>
      <c r="F2" s="4"/>
      <c r="G2" s="4"/>
      <c r="H2" s="4"/>
      <c r="I2" s="62"/>
      <c r="J2" s="1"/>
      <c r="K2" s="63" t="s">
        <v>112</v>
      </c>
      <c r="L2" s="1"/>
      <c r="M2" s="1"/>
      <c r="N2" s="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0.0" customHeight="1">
      <c r="A3" s="1"/>
      <c r="B3" s="64" t="str">
        <f>"Piano basato su: "&amp;TEXT('🔥 Calcolatore'!D6,"0.0")&amp;" kg  |  Target: "&amp;TEXT('🔥 Calcolatore'!I8,"#,##0")&amp;" kcal  |  Porzioni aggiornate automaticamente"</f>
        <v>Piano basato su: 68,0 kg  |  Target: 1.209 kcal  |  Porzioni aggiornate automaticamente</v>
      </c>
      <c r="C3" s="15"/>
      <c r="D3" s="15"/>
      <c r="E3" s="15"/>
      <c r="F3" s="15"/>
      <c r="G3" s="15"/>
      <c r="H3" s="15"/>
      <c r="I3" s="65"/>
      <c r="J3" s="1"/>
      <c r="K3" s="66" t="s">
        <v>113</v>
      </c>
      <c r="L3" s="1"/>
      <c r="M3" s="1"/>
      <c r="N3" s="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43.5" customHeight="1">
      <c r="A4" s="1"/>
      <c r="B4" s="67" t="s">
        <v>114</v>
      </c>
      <c r="C4" s="20"/>
      <c r="D4" s="68">
        <f>'🔥 Calcolatore'!I8</f>
        <v>1208.78125</v>
      </c>
      <c r="E4" s="69" t="s">
        <v>115</v>
      </c>
      <c r="F4" s="1"/>
      <c r="G4" s="1"/>
      <c r="H4" s="1"/>
      <c r="I4" s="21"/>
      <c r="J4" s="1"/>
      <c r="K4" s="70"/>
      <c r="L4" s="1"/>
      <c r="M4" s="1"/>
      <c r="N4" s="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7.75" customHeight="1">
      <c r="A5" s="1"/>
      <c r="B5" s="23" t="s">
        <v>116</v>
      </c>
      <c r="C5" s="71">
        <f>'🔥 Calcolatore'!I11/4</f>
        <v>136</v>
      </c>
      <c r="D5" s="23" t="s">
        <v>117</v>
      </c>
      <c r="E5" s="72">
        <f>'🔥 Calcolatore'!I12/9</f>
        <v>33.57725694</v>
      </c>
      <c r="F5" s="23" t="s">
        <v>118</v>
      </c>
      <c r="G5" s="73">
        <f>'🔥 Calcolatore'!I13/4</f>
        <v>90.64648438</v>
      </c>
      <c r="H5" s="1"/>
      <c r="I5" s="21"/>
      <c r="J5" s="1"/>
      <c r="K5" s="70"/>
      <c r="L5" s="1"/>
      <c r="M5" s="1"/>
      <c r="N5" s="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31.5" customHeight="1">
      <c r="A7" s="1"/>
      <c r="B7" s="74" t="s">
        <v>119</v>
      </c>
      <c r="C7" s="11"/>
      <c r="D7" s="11"/>
      <c r="E7" s="11"/>
      <c r="F7" s="11"/>
      <c r="G7" s="11"/>
      <c r="H7" s="11"/>
      <c r="I7" s="62"/>
      <c r="J7" s="1"/>
      <c r="K7" s="75"/>
      <c r="L7" s="1"/>
      <c r="M7" s="1"/>
      <c r="N7" s="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4.0" customHeight="1">
      <c r="A8" s="1"/>
      <c r="B8" s="76" t="s">
        <v>120</v>
      </c>
      <c r="C8" s="4"/>
      <c r="D8" s="4"/>
      <c r="E8" s="4"/>
      <c r="F8" s="4"/>
      <c r="G8" s="4"/>
      <c r="H8" s="4"/>
      <c r="I8" s="77"/>
      <c r="J8" s="1"/>
      <c r="K8" s="70"/>
      <c r="L8" s="1"/>
      <c r="M8" s="1"/>
      <c r="N8" s="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5.5" customHeight="1">
      <c r="A9" s="1"/>
      <c r="B9" s="78" t="s">
        <v>121</v>
      </c>
      <c r="C9" s="78" t="s">
        <v>122</v>
      </c>
      <c r="D9" s="78" t="s">
        <v>123</v>
      </c>
      <c r="E9" s="78" t="s">
        <v>124</v>
      </c>
      <c r="F9" s="78" t="s">
        <v>125</v>
      </c>
      <c r="G9" s="78" t="s">
        <v>126</v>
      </c>
      <c r="H9" s="1"/>
      <c r="I9" s="78" t="s">
        <v>127</v>
      </c>
      <c r="J9" s="1"/>
      <c r="K9" s="79" t="s">
        <v>128</v>
      </c>
      <c r="L9" s="1"/>
      <c r="M9" s="1"/>
      <c r="N9" s="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66.75" customHeight="1">
      <c r="A10" s="1"/>
      <c r="B10" s="80" t="str">
        <f>"Uova intere ("&amp; MAX(1,ROUND(110*('🔥 Calcolatore'!I8/1911)/55,0)) &amp;" uova)"</f>
        <v>Uova intere (1 uova)</v>
      </c>
      <c r="C10" s="81">
        <f>ROUND(110*(('🔥 Calcolatore'!I8/1911))/5,0)*5</f>
        <v>70</v>
      </c>
      <c r="D10" s="81">
        <f>ROUND(171*(('🔥 Calcolatore'!I8/1911)),0)</f>
        <v>108</v>
      </c>
      <c r="E10" s="82">
        <f>ROUND(14.3*(('🔥 Calcolatore'!I8/1911)),1)</f>
        <v>9</v>
      </c>
      <c r="F10" s="82">
        <f>ROUND(1.2*(('🔥 Calcolatore'!I8/1911)),1)</f>
        <v>0.8</v>
      </c>
      <c r="G10" s="82">
        <f>ROUND(12.1*(('🔥 Calcolatore'!I8/1911)),1)</f>
        <v>7.7</v>
      </c>
      <c r="H10" s="1"/>
      <c r="I10" s="83" t="str">
        <f>"Ricotta intera "&amp; ROUND(130*('🔥 Calcolatore'!I8/1911)/5,0)*5 &amp;"g"&amp;"  |  ""Formaggio fresco "&amp; ROUND(160*('🔥 Calcolatore'!I8/1911)/5,0)*5 &amp;"g"&amp;"  |  ""Crescenza "&amp; ROUND(135*('🔥 Calcolatore'!I8/1911)/5,0)*5 &amp;"g"&amp;"  |  ""Stracchino "&amp; ROUND(175*('🔥 Calcolatore'!I8/1911)/5,0)*5 &amp;"g"&amp;"  |  ""Quark intero "&amp; ROUND(150*('🔥 Calcolatore'!I8/1911)/5,0)*5 &amp;"g + olio EVO 8g"&amp;"  |  ""Fiocchi di latte "&amp; ROUND(100*('🔥 Calcolatore'!I8/1911)/5,0)*5 &amp;"g + olio EVO 10g"&amp;"  |  ""Prosciutto cotto "&amp; ROUND(110*('🔥 Calcolatore'!I8/1911)/5,0)*5 &amp;"g + olio EVO 7g"&amp;"  |  ""Tonno al naturale "&amp; ROUND(100*('🔥 Calcolatore'!I8/1911)/5,0)*5 &amp;"g + olio EVO 8g"&amp;"  |  ""Tacchino a fette "&amp; ROUND(100*('🔥 Calcolatore'!I8/1911)/5,0)*5 &amp;"g + olio EVO 8g"&amp;"  |  ""Whey isolate "&amp; ROUND(25*('🔥 Calcolatore'!I8/1911)/5,0)*5 &amp;"g + burro mandorle 12g"&amp;"  |  ""Salmone affumicato "&amp; ROUND(100*('🔥 Calcolatore'!I8/1911)/5,0)*5 &amp;"g"&amp;"  |  ""Tacchino a fette "&amp; ROUND(90*('🔥 Calcolatore'!I8/1911)/5,0)*5 &amp;"g + noci 15g"&amp;"  |  ""Bresaola "&amp; ROUND(60*('🔥 Calcolatore'!I8/1911)/5,0)*5 &amp;"g + fondente 85% 15g"&amp;"  |  ""Sgombro al naturale "&amp; ROUND(120*('🔥 Calcolatore'!I8/1911)/5,0)*5 &amp;"g"</f>
        <v>Ricotta intera 80g  |  "Formaggio fresco 100g  |  "Crescenza 85g  |  "Stracchino 110g  |  "Quark intero 95g + olio EVO 8g  |  "Fiocchi di latte 65g + olio EVO 10g  |  "Prosciutto cotto 70g + olio EVO 7g  |  "Tonno al naturale 65g + olio EVO 8g  |  "Tacchino a fette 65g + olio EVO 8g  |  "Whey isolate 15g + burro mandorle 12g  |  "Salmone affumicato 65g  |  "Tacchino a fette 55g + noci 15g  |  "Bresaola 40g + fondente 85% 15g  |  "Sgombro al naturale 75g</v>
      </c>
      <c r="J10" s="1"/>
      <c r="K10" s="84" t="str">
        <f>"Tofu strapazzato con curcuma "&amp; ROUND(150*('🔥 Calcolatore'!I8/1911)/5,0)*5 &amp;"g"&amp;"  |  ""Frittata di ceci (farinata) "&amp; ROUND(130*('🔥 Calcolatore'!I8/1911)/5,0)*5 &amp;"g"&amp;"  |  ""Tempeh a fette "&amp; ROUND(100*('🔥 Calcolatore'!I8/1911)/5,0)*5 &amp;"g"&amp;"  |  ""Lupini sgusciati "&amp; ROUND(110*('🔥 Calcolatore'!I8/1911)/5,0)*5 &amp;"g"&amp;"  |  ""Proteine vegane in polvere "&amp; ROUND(35*('🔥 Calcolatore'!I8/1911)/5,0)*5 &amp;"g + latte vegetale 200ml"</f>
        <v>Tofu strapazzato con curcuma 95g  |  "Frittata di ceci (farinata) 80g  |  "Tempeh a fette 65g  |  "Lupini sgusciati 70g  |  "Proteine vegane in polvere 20g + latte vegetale 200ml</v>
      </c>
      <c r="L10" s="1"/>
      <c r="M10" s="1"/>
      <c r="N10" s="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37.5" customHeight="1">
      <c r="A11" s="1"/>
      <c r="B11" s="85" t="s">
        <v>129</v>
      </c>
      <c r="C11" s="86">
        <f>ROUND(110*(('🔥 Calcolatore'!I8/1911))/5,0)*5</f>
        <v>70</v>
      </c>
      <c r="D11" s="86">
        <f>ROUND(57*(('🔥 Calcolatore'!I8/1911)),0)</f>
        <v>36</v>
      </c>
      <c r="E11" s="87">
        <f>ROUND(12.1*(('🔥 Calcolatore'!I8/1911)),1)</f>
        <v>7.7</v>
      </c>
      <c r="F11" s="87">
        <f>ROUND(0.8*(('🔥 Calcolatore'!I8/1911)),1)</f>
        <v>0.5</v>
      </c>
      <c r="G11" s="87">
        <f>ROUND(0.2*(('🔥 Calcolatore'!I8/1911)),1)</f>
        <v>0.1</v>
      </c>
      <c r="H11" s="1"/>
      <c r="I11" s="83" t="str">
        <f>"Whey protein "&amp;ROUND(15*(('🔥 Calcolatore'!I8/1911))/5,0)*5&amp;"g"&amp;"  |  "&amp;"Prosciutto cotto magro "&amp;ROUND(50*(('🔥 Calcolatore'!I8/1911))/5,0)*5&amp;"g"&amp;"  |  "&amp;"Bresaola "&amp;ROUND(40*(('🔥 Calcolatore'!I8/1911))/5,0)*5&amp;"g"&amp;"  |  "&amp;"Fesa di tacchino "&amp;ROUND(55*(('🔥 Calcolatore'!I8/1911))/5,0)*5&amp;"g"&amp;"  |  "&amp;"Fiocchi di latte magri "&amp;ROUND(80*(('🔥 Calcolatore'!I8/1911))/5,0)*5&amp;"g"&amp;"  |  "&amp;"Skyr "&amp;ROUND(90*(('🔥 Calcolatore'!I8/1911))/5,0)*5&amp;"g"&amp;"  |  "&amp;"Tonno al naturale "&amp;ROUND(55*(('🔥 Calcolatore'!I8/1911))/5,0)*5&amp;"g"</f>
        <v>Whey protein 10g  |  Prosciutto cotto magro 30g  |  Bresaola 25g  |  Fesa di tacchino 35g  |  Fiocchi di latte magri 50g  |  Skyr 55g  |  Tonno al naturale 35g</v>
      </c>
      <c r="J11" s="1"/>
      <c r="K11" s="84" t="str">
        <f>"Tofu silken "&amp; ROUND(120*('🔥 Calcolatore'!I8/1911)/5,0)*5 &amp;"g"&amp;"  |  ""Edamame bolliti "&amp; ROUND(100*('🔥 Calcolatore'!I8/1911)/5,0)*5 &amp;"g"&amp;"  |  ""Tempeh "&amp; ROUND(80*('🔥 Calcolatore'!I8/1911)/5,0)*5 &amp;"g"&amp;"  |  ""Lupini sgusciati "&amp; ROUND(100*('🔥 Calcolatore'!I8/1911)/5,0)*5 &amp;"g"&amp;"  |  ""Proteine vegane "&amp; ROUND(20*('🔥 Calcolatore'!I8/1911)/5,0)*5 &amp;"g in acqua"</f>
        <v>Tofu silken 75g  |  "Edamame bolliti 65g  |  "Tempeh 50g  |  "Lupini sgusciati 65g  |  "Proteine vegane 15g in acqua</v>
      </c>
      <c r="L11" s="1"/>
      <c r="M11" s="1"/>
      <c r="N11" s="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37.5" customHeight="1">
      <c r="A12" s="1"/>
      <c r="B12" s="80" t="s">
        <v>130</v>
      </c>
      <c r="C12" s="81">
        <f>ROUND(65*(('🔥 Calcolatore'!I8/1911))/5,0)*5</f>
        <v>40</v>
      </c>
      <c r="D12" s="81">
        <f>ROUND(168*(('🔥 Calcolatore'!I8/1911)),0)</f>
        <v>106</v>
      </c>
      <c r="E12" s="82">
        <f>ROUND(6.5*(('🔥 Calcolatore'!I8/1911)),1)</f>
        <v>4.1</v>
      </c>
      <c r="F12" s="82">
        <f>ROUND(31.4*(('🔥 Calcolatore'!I8/1911)),1)</f>
        <v>19.9</v>
      </c>
      <c r="G12" s="82">
        <f>ROUND(1.6*(('🔥 Calcolatore'!I8/1911)),1)</f>
        <v>1</v>
      </c>
      <c r="H12" s="1"/>
      <c r="I12" s="83" t="str">
        <f>"Fette biscottate integrali "&amp;ROUND(45*(('🔥 Calcolatore'!I8/1911))/5,0)*5&amp;"g"&amp;"  |  "&amp;"Crackers integrali "&amp;ROUND(40*(('🔥 Calcolatore'!I8/1911))/5,0)*5&amp;"g"&amp;"  |  "&amp;"Pane di segale "&amp;ROUND(75*(('🔥 Calcolatore'!I8/1911))/5,0)*5&amp;"g"&amp;"  |  "&amp;"Avena fiocchi porridge "&amp;ROUND(45*(('🔥 Calcolatore'!I8/1911))/5,0)*5&amp;"g"&amp;"  |  "&amp;"Muesli senza zucchero "&amp;ROUND(45*(('🔥 Calcolatore'!I8/1911))/5,0)*5&amp;"g"</f>
        <v>Fette biscottate integrali 30g  |  Crackers integrali 25g  |  Pane di segale 45g  |  Avena fiocchi porridge 30g  |  Muesli senza zucchero 30g</v>
      </c>
      <c r="J12" s="1"/>
      <c r="K12" s="84" t="str">
        <f>"Avena "&amp; ROUND(60*('🔥 Calcolatore'!I8/1911)/5,0)*5 &amp;"g con latte vegetale"&amp;"  |  ""Gallette di riso 5 pz"&amp;"  |  ""Pane di segale "&amp; ROUND(60*('🔥 Calcolatore'!I8/1911)/5,0)*5 &amp;"g"&amp;"  |  ""Fiocchi di farro "&amp; ROUND(55*('🔥 Calcolatore'!I8/1911)/5,0)*5 &amp;"g"</f>
        <v>Avena 40g con latte vegetale  |  "Gallette di riso 5 pz  |  "Pane di segale 40g  |  "Fiocchi di farro 35g</v>
      </c>
      <c r="L12" s="1"/>
      <c r="M12" s="1"/>
      <c r="N12" s="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37.5" customHeight="1">
      <c r="A13" s="1"/>
      <c r="B13" s="85" t="s">
        <v>131</v>
      </c>
      <c r="C13" s="86">
        <f>ROUND(145*(('🔥 Calcolatore'!I8/1911))/5,0)*5</f>
        <v>90</v>
      </c>
      <c r="D13" s="86">
        <f>ROUND(85*(('🔥 Calcolatore'!I8/1911)),0)</f>
        <v>54</v>
      </c>
      <c r="E13" s="87">
        <f>ROUND(14.5*(('🔥 Calcolatore'!I8/1911)),1)</f>
        <v>9.2</v>
      </c>
      <c r="F13" s="87">
        <f>ROUND(4.8*(('🔥 Calcolatore'!I8/1911)),1)</f>
        <v>3</v>
      </c>
      <c r="G13" s="87">
        <f>ROUND(0.4*(('🔥 Calcolatore'!I8/1911)),1)</f>
        <v>0.3</v>
      </c>
      <c r="H13" s="1"/>
      <c r="I13" s="83" t="str">
        <f>"Petto di pollo cotto "&amp;ROUND(45*(('🔥 Calcolatore'!I8/1911))/5,0)*5&amp;"g"&amp;"  |  "&amp;"Fesa di tacchino "&amp;ROUND(60*(('🔥 Calcolatore'!I8/1911))/5,0)*5&amp;"g"&amp;"  |  "&amp;"Bresaola "&amp;ROUND(45*(('🔥 Calcolatore'!I8/1911))/5,0)*5&amp;"g"&amp;"  |  "&amp;"Tonno al naturale "&amp;ROUND(60*(('🔥 Calcolatore'!I8/1911))/5,0)*5&amp;"g"&amp;"  |  "&amp;"Merluzzo lessato "&amp;ROUND(85*(('🔥 Calcolatore'!I8/1911))/5,0)*5&amp;"g"&amp;"  |  "&amp;"Prosciutto cotto magro "&amp;ROUND(80*(('🔥 Calcolatore'!I8/1911))/5,0)*5&amp;"g"&amp;"  |  "&amp;"Albumi cotti (≈4 albumi) "&amp;ROUND(130*(('🔥 Calcolatore'!I8/1911))/5,0)*5&amp;"g"</f>
        <v>Petto di pollo cotto 30g  |  Fesa di tacchino 40g  |  Bresaola 30g  |  Tonno al naturale 40g  |  Merluzzo lessato 55g  |  Prosciutto cotto magro 50g  |  Albumi cotti (≈4 albumi) 80g</v>
      </c>
      <c r="J13" s="1"/>
      <c r="K13" s="84" t="str">
        <f>"Yogurt di soia proteico "&amp; ROUND(150*('🔥 Calcolatore'!I8/1911)/5,0)*5 &amp;"g"&amp;"  |  ""Kefir di soia "&amp; ROUND(200*('🔥 Calcolatore'!I8/1911)/5,0)*5 &amp;"ml"&amp;"  |  ""Tofu silken frullato "&amp; ROUND(150*('🔥 Calcolatore'!I8/1911)/5,0)*5 &amp;"g"</f>
        <v>Yogurt di soia proteico 95g  |  "Kefir di soia 125ml  |  "Tofu silken frullato 95g</v>
      </c>
      <c r="L13" s="1"/>
      <c r="M13" s="1"/>
      <c r="N13" s="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37.5" customHeight="1">
      <c r="A14" s="1"/>
      <c r="B14" s="80" t="s">
        <v>132</v>
      </c>
      <c r="C14" s="81">
        <f>ROUND(100*(('🔥 Calcolatore'!I8/1911))/5,0)*5</f>
        <v>65</v>
      </c>
      <c r="D14" s="81">
        <f>ROUND(33*(('🔥 Calcolatore'!I8/1911)),0)</f>
        <v>21</v>
      </c>
      <c r="E14" s="82">
        <f>ROUND(0.7*(('🔥 Calcolatore'!I8/1911)),1)</f>
        <v>0.4</v>
      </c>
      <c r="F14" s="82">
        <f>ROUND(7.7*(('🔥 Calcolatore'!I8/1911)),1)</f>
        <v>4.9</v>
      </c>
      <c r="G14" s="82">
        <f>ROUND(0.3*(('🔥 Calcolatore'!I8/1911)),1)</f>
        <v>0.2</v>
      </c>
      <c r="H14" s="1"/>
      <c r="I14" s="83" t="str">
        <f>"Banana "&amp;ROUND(35*(('🔥 Calcolatore'!I8/1911))/5,0)*5&amp;"g"&amp;"  |  "&amp;"Mela "&amp;ROUND(65*(('🔥 Calcolatore'!I8/1911))/5,0)*5&amp;"g"&amp;"  |  "&amp;"Pera "&amp;ROUND(65*(('🔥 Calcolatore'!I8/1911))/5,0)*5&amp;"g"&amp;"  |  "&amp;"Arancia "&amp;ROUND(75*(('🔥 Calcolatore'!I8/1911))/5,0)*5&amp;"g"&amp;"  |  "&amp;"Kiwi "&amp;ROUND(65*(('🔥 Calcolatore'!I8/1911))/5,0)*5&amp;"g"&amp;"  |  "&amp;"Frutti di bosco "&amp;ROUND(70*(('🔥 Calcolatore'!I8/1911))/5,0)*5&amp;"g"&amp;"  |  "&amp;"Uva "&amp;ROUND(50*(('🔥 Calcolatore'!I8/1911))/5,0)*5&amp;"g"&amp;"  |  "&amp;"Albicocche "&amp;ROUND(80*(('🔥 Calcolatore'!I8/1911))/5,0)*5&amp;"g"</f>
        <v>Banana 20g  |  Mela 40g  |  Pera 40g  |  Arancia 45g  |  Kiwi 40g  |  Frutti di bosco 45g  |  Uva 30g  |  Albicocche 50g</v>
      </c>
      <c r="J14" s="1"/>
      <c r="K14" s="84" t="str">
        <f>"Mirtilli "&amp; ROUND(120*('🔥 Calcolatore'!I8/1911)/5,0)*5 &amp;"g"&amp;"  |  ""Banana "&amp; ROUND(100*('🔥 Calcolatore'!I8/1911)/5,0)*5 &amp;"g"&amp;"  |  ""Kiwi 2 pz"&amp;"  |  ""Arancia "&amp; ROUND(180*('🔥 Calcolatore'!I8/1911)/5,0)*5 &amp;"g"</f>
        <v>Mirtilli 75g  |  "Banana 65g  |  "Kiwi 2 pz  |  "Arancia 115g</v>
      </c>
      <c r="L14" s="1"/>
      <c r="M14" s="1"/>
      <c r="N14" s="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37.5" customHeight="1">
      <c r="A15" s="1"/>
      <c r="B15" s="85" t="s">
        <v>133</v>
      </c>
      <c r="C15" s="86">
        <v>0.0</v>
      </c>
      <c r="D15" s="86">
        <v>0.0</v>
      </c>
      <c r="E15" s="87">
        <v>0.0</v>
      </c>
      <c r="F15" s="87">
        <v>0.0</v>
      </c>
      <c r="G15" s="87">
        <v>0.0</v>
      </c>
      <c r="H15" s="1"/>
      <c r="I15" s="83" t="s">
        <v>134</v>
      </c>
      <c r="J15" s="1"/>
      <c r="K15" s="84" t="s">
        <v>135</v>
      </c>
      <c r="L15" s="1"/>
      <c r="M15" s="1"/>
      <c r="N15" s="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37.5" customHeight="1">
      <c r="A16" s="31"/>
      <c r="B16" s="88" t="s">
        <v>136</v>
      </c>
      <c r="C16" s="89">
        <f>ROUND(30*(('🔥 Calcolatore'!I8/1911))/5,0)*5</f>
        <v>20</v>
      </c>
      <c r="D16" s="90">
        <f>ROUND(120*(('🔥 Calcolatore'!I8/1911)),0)</f>
        <v>76</v>
      </c>
      <c r="E16" s="91">
        <f>ROUND(24*(('🔥 Calcolatore'!I8/1911)),1)</f>
        <v>15.2</v>
      </c>
      <c r="F16" s="91">
        <f>ROUND(2*(('🔥 Calcolatore'!I8/1911)),1)</f>
        <v>1.3</v>
      </c>
      <c r="G16" s="91">
        <f>ROUND(2*(('🔥 Calcolatore'!I8/1911)),1)</f>
        <v>1.3</v>
      </c>
      <c r="H16" s="1"/>
      <c r="I16" s="92" t="str">
        <f>"Whey isolate "&amp;ROUND(30*(('🔥 Calcolatore'!I8/1911))/5,0)*5&amp;"g"&amp;"  |  "&amp;"Whey concentrate "&amp;ROUND(30*(('🔥 Calcolatore'!I8/1911))/5,0)*5&amp;"g"&amp;"  |  "&amp;"Caseina lento rilascio "&amp;ROUND(30*(('🔥 Calcolatore'!I8/1911))/5,0)*5&amp;"g"&amp;"  |  "&amp;"Proteine uovo in polvere "&amp;ROUND(28*(('🔥 Calcolatore'!I8/1911))/5,0)*5&amp;"g"</f>
        <v>Whey isolate 20g  |  Whey concentrate 20g  |  Caseina lento rilascio 20g  |  Proteine uovo in polvere 20g</v>
      </c>
      <c r="J16" s="1"/>
      <c r="K16" s="93" t="str">
        <f>"Proteine di pisello e riso "&amp; ROUND(30*('🔥 Calcolatore'!I8/1911)/5,0)*5 &amp;"g"&amp;"  |  ""Proteine di pisello "&amp; ROUND(32*('🔥 Calcolatore'!I8/1911)/5,0)*5 &amp;"g"&amp;"  |  ""Proteine di soia "&amp; ROUND(28*('🔥 Calcolatore'!I8/1911)/5,0)*5 &amp;"g"&amp;"  |  ""Blend vegano 50/50 "&amp; ROUND(30*('🔥 Calcolatore'!I8/1911)/5,0)*5 &amp;"g"</f>
        <v>Proteine di pisello e riso 20g  |  "Proteine di pisello 20g  |  "Proteine di soia 20g  |  "Blend vegano 50/50 20g</v>
      </c>
      <c r="L16" s="1"/>
      <c r="M16" s="1"/>
      <c r="N16" s="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4.75" customHeight="1">
      <c r="A17" s="1"/>
      <c r="B17" s="94" t="s">
        <v>137</v>
      </c>
      <c r="C17" s="95">
        <f>SUM(C10:C15)</f>
        <v>335</v>
      </c>
      <c r="D17" s="95">
        <f t="shared" ref="D17:G17" si="1">SUM(D10:D16)</f>
        <v>401</v>
      </c>
      <c r="E17" s="96">
        <f t="shared" si="1"/>
        <v>45.6</v>
      </c>
      <c r="F17" s="96">
        <f t="shared" si="1"/>
        <v>30.4</v>
      </c>
      <c r="G17" s="96">
        <f t="shared" si="1"/>
        <v>10.6</v>
      </c>
      <c r="H17" s="1"/>
      <c r="I17" s="97" t="s">
        <v>138</v>
      </c>
      <c r="J17" s="1"/>
      <c r="K17" s="98" t="s">
        <v>139</v>
      </c>
      <c r="L17" s="1"/>
      <c r="M17" s="1"/>
      <c r="N17" s="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31.5" customHeight="1">
      <c r="A18" s="99" t="s">
        <v>140</v>
      </c>
      <c r="B18" s="58"/>
      <c r="C18" s="4"/>
      <c r="D18" s="4"/>
      <c r="E18" s="4"/>
      <c r="F18" s="4"/>
      <c r="G18" s="4"/>
      <c r="H18" s="4"/>
      <c r="I18" s="1"/>
      <c r="J18" s="1"/>
      <c r="K18" s="1"/>
      <c r="L18" s="1"/>
      <c r="M18" s="1"/>
      <c r="N18" s="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4.0" customHeight="1">
      <c r="A19" s="1"/>
      <c r="B19" s="74" t="s">
        <v>141</v>
      </c>
      <c r="C19" s="11"/>
      <c r="D19" s="11"/>
      <c r="E19" s="11"/>
      <c r="F19" s="11"/>
      <c r="G19" s="11"/>
      <c r="H19" s="11"/>
      <c r="I19" s="62"/>
      <c r="J19" s="1"/>
      <c r="K19" s="75"/>
      <c r="L19" s="1"/>
      <c r="M19" s="1"/>
      <c r="N19" s="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5.5" customHeight="1">
      <c r="A20" s="1"/>
      <c r="B20" s="100" t="s">
        <v>142</v>
      </c>
      <c r="C20" s="1"/>
      <c r="D20" s="1"/>
      <c r="E20" s="1"/>
      <c r="F20" s="1"/>
      <c r="G20" s="1"/>
      <c r="H20" s="1"/>
      <c r="I20" s="77"/>
      <c r="J20" s="1"/>
      <c r="K20" s="70"/>
      <c r="L20" s="1"/>
      <c r="M20" s="1"/>
      <c r="N20" s="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51.75" customHeight="1">
      <c r="A21" s="1"/>
      <c r="B21" s="78" t="s">
        <v>121</v>
      </c>
      <c r="C21" s="78" t="s">
        <v>122</v>
      </c>
      <c r="D21" s="78" t="s">
        <v>123</v>
      </c>
      <c r="E21" s="78" t="s">
        <v>124</v>
      </c>
      <c r="F21" s="78" t="s">
        <v>125</v>
      </c>
      <c r="G21" s="78" t="s">
        <v>126</v>
      </c>
      <c r="H21" s="1"/>
      <c r="I21" s="78" t="s">
        <v>127</v>
      </c>
      <c r="J21" s="1"/>
      <c r="K21" s="79" t="s">
        <v>128</v>
      </c>
      <c r="L21" s="1"/>
      <c r="M21" s="1"/>
      <c r="N21" s="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51.75" customHeight="1">
      <c r="A22" s="1"/>
      <c r="B22" s="80" t="s">
        <v>143</v>
      </c>
      <c r="C22" s="81">
        <f>ROUND(190*(('🔥 Calcolatore'!I8/1911))/5,0)*5</f>
        <v>120</v>
      </c>
      <c r="D22" s="81">
        <f>ROUND(219*(('🔥 Calcolatore'!I8/1911)),0)</f>
        <v>139</v>
      </c>
      <c r="E22" s="82">
        <f>ROUND(45.4*(('🔥 Calcolatore'!I8/1911)),1)</f>
        <v>28.7</v>
      </c>
      <c r="F22" s="82">
        <f>ROUND(0*(('🔥 Calcolatore'!I8/1911)),1)</f>
        <v>0</v>
      </c>
      <c r="G22" s="82">
        <f>ROUND(3.7*(('🔥 Calcolatore'!I8/1911)),1)</f>
        <v>2.3</v>
      </c>
      <c r="H22" s="1"/>
      <c r="I22" s="83" t="str">
        <f>"Lonza di maiale magra "&amp;ROUND(145*(('🔥 Calcolatore'!I8/1911))/5,0)*5&amp;"g"&amp;"  |  "&amp;"Fesa di vitello "&amp;ROUND(210*(('🔥 Calcolatore'!I8/1911))/5,0)*5&amp;"g"&amp;"  |  "&amp;"Bistecca di manzo magra "&amp;ROUND(140*(('🔥 Calcolatore'!I8/1911))/5,0)*5&amp;"g"&amp;"  |  "&amp;"Tonno al naturale "&amp;ROUND(210*(('🔥 Calcolatore'!I8/1911))/5,0)*5&amp;"g"&amp;"  |  "&amp;"Gamberetti "&amp;ROUND(310*(('🔥 Calcolatore'!I8/1911))/5,0)*5&amp;"g"&amp;"  |  "&amp;"Petto di tacchino "&amp;ROUND(185*(('🔥 Calcolatore'!I8/1911))/5,0)*5&amp;"g"&amp;"  |  "&amp;"Merluzzo "&amp;ROUND(305*(('🔥 Calcolatore'!I8/1911))/5,0)*5&amp;"g"</f>
        <v>Lonza di maiale magra 90g  |  Fesa di vitello 135g  |  Bistecca di manzo magra 90g  |  Tonno al naturale 135g  |  Gamberetti 195g  |  Petto di tacchino 115g  |  Merluzzo 195g</v>
      </c>
      <c r="J22" s="1"/>
      <c r="K22" s="84" t="str">
        <f>"Tofu compatto marinato "&amp; ROUND(200*('🔥 Calcolatore'!I8/1911)/5,0)*5 &amp;"g"&amp;"  |  ""Tempeh al forno "&amp; ROUND(150*('🔥 Calcolatore'!I8/1911)/5,0)*5 &amp;"g"&amp;"  |  ""Seitan "&amp; ROUND(140*('🔥 Calcolatore'!I8/1911)/5,0)*5 &amp;"g"&amp;"  |  ""Legumi misti cotti "&amp; ROUND(200*('🔥 Calcolatore'!I8/1911)/5,0)*5 &amp;"g"&amp;"  |  ""Burger di lenticchie "&amp; ROUND(180*('🔥 Calcolatore'!I8/1911)/5,0)*5 &amp;"g"</f>
        <v>Tofu compatto marinato 125g  |  "Tempeh al forno 95g  |  "Seitan 90g  |  "Legumi misti cotti 125g  |  "Burger di lenticchie 115g</v>
      </c>
      <c r="L22" s="1"/>
      <c r="M22" s="1"/>
      <c r="N22" s="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37.5" customHeight="1">
      <c r="A23" s="1"/>
      <c r="B23" s="85" t="s">
        <v>144</v>
      </c>
      <c r="C23" s="86">
        <f>ROUND(85*(('🔥 Calcolatore'!I8/1911))/5,0)*5</f>
        <v>55</v>
      </c>
      <c r="D23" s="86">
        <f>ROUND(306*(('🔥 Calcolatore'!I8/1911)),0)</f>
        <v>194</v>
      </c>
      <c r="E23" s="87">
        <f>ROUND(6.9*(('🔥 Calcolatore'!I8/1911)),1)</f>
        <v>4.4</v>
      </c>
      <c r="F23" s="87">
        <f>ROUND(65.9*(('🔥 Calcolatore'!I8/1911)),1)</f>
        <v>41.7</v>
      </c>
      <c r="G23" s="87">
        <f>ROUND(1.1*(('🔥 Calcolatore'!I8/1911)),1)</f>
        <v>0.7</v>
      </c>
      <c r="H23" s="1"/>
      <c r="I23" s="83" t="str">
        <f>"Pasta di grano duro "&amp;ROUND(85*(('🔥 Calcolatore'!I8/1911))/5,0)*5&amp;"g"&amp;"  |  "&amp;"Riso bianco "&amp;ROUND(90*(('🔥 Calcolatore'!I8/1911))/5,0)*5&amp;"g"&amp;"  |  "&amp;"Gnocchi di patate "&amp;ROUND(230*(('🔥 Calcolatore'!I8/1911))/5,0)*5&amp;"g"&amp;"  |  "&amp;"Farro perlato "&amp;ROUND(90*(('🔥 Calcolatore'!I8/1911))/5,0)*5&amp;"g"&amp;"  |  "&amp;"Orzo perlato "&amp;ROUND(85*(('🔥 Calcolatore'!I8/1911))/5,0)*5&amp;"g"&amp;"  |  "&amp;"Pane integrale "&amp;ROUND(135*(('🔥 Calcolatore'!I8/1911))/5,0)*5&amp;"g"</f>
        <v>Pasta di grano duro 55g  |  Riso bianco 55g  |  Gnocchi di patate 145g  |  Farro perlato 55g  |  Orzo perlato 55g  |  Pane integrale 85g</v>
      </c>
      <c r="J23" s="1"/>
      <c r="K23" s="84" t="str">
        <f>"Quinoa cotta "&amp; ROUND(100*('🔥 Calcolatore'!I8/1911)/5,0)*5 &amp;"g"&amp;"  |  ""Pasta di ceci "&amp; ROUND(90*('🔥 Calcolatore'!I8/1911)/5,0)*5 &amp;"g"&amp;"  |  ""Riso integrale "&amp; ROUND(100*('🔥 Calcolatore'!I8/1911)/5,0)*5 &amp;"g"&amp;"  |  ""Grano saraceno "&amp; ROUND(95*('🔥 Calcolatore'!I8/1911)/5,0)*5 &amp;"g"</f>
        <v>Quinoa cotta 65g  |  "Pasta di ceci 55g  |  "Riso integrale 65g  |  "Grano saraceno 60g</v>
      </c>
      <c r="L23" s="1"/>
      <c r="M23" s="1"/>
      <c r="N23" s="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37.5" customHeight="1">
      <c r="A24" s="1"/>
      <c r="B24" s="80" t="s">
        <v>145</v>
      </c>
      <c r="C24" s="81">
        <f>ROUND(215*(('🔥 Calcolatore'!I8/1911))/5,0)*5</f>
        <v>135</v>
      </c>
      <c r="D24" s="81">
        <f>ROUND(54*(('🔥 Calcolatore'!I8/1911)),0)</f>
        <v>34</v>
      </c>
      <c r="E24" s="82">
        <f>ROUND(2.7*(('🔥 Calcolatore'!I8/1911)),1)</f>
        <v>1.7</v>
      </c>
      <c r="F24" s="82">
        <f>ROUND(8.6*(('🔥 Calcolatore'!I8/1911)),1)</f>
        <v>5.4</v>
      </c>
      <c r="G24" s="82">
        <f>ROUND(0.5*(('🔥 Calcolatore'!I8/1911)),1)</f>
        <v>0.3</v>
      </c>
      <c r="H24" s="1"/>
      <c r="I24" s="83" t="str">
        <f>"Zucchine "&amp;ROUND(200*(('🔥 Calcolatore'!I8/1911))/5,0)*5&amp;"g"&amp;"  |  "&amp;"Melanzane "&amp;ROUND(200*(('🔥 Calcolatore'!I8/1911))/5,0)*5&amp;"g"&amp;"  |  "&amp;"Peperoni "&amp;ROUND(200*(('🔥 Calcolatore'!I8/1911))/5,0)*5&amp;"g"&amp;"  |  "&amp;"Finocchi "&amp;ROUND(200*(('🔥 Calcolatore'!I8/1911))/5,0)*5&amp;"g"&amp;"  |  "&amp;"Fagiolini "&amp;ROUND(200*(('🔥 Calcolatore'!I8/1911))/5,0)*5&amp;"g"&amp;"  |  "&amp;"Asparagi "&amp;ROUND(200*(('🔥 Calcolatore'!I8/1911))/5,0)*5&amp;"g"&amp;"  |  "&amp;"Cavolfiore "&amp;ROUND(200*(('🔥 Calcolatore'!I8/1911))/5,0)*5&amp;"g"&amp;"  |  "&amp;"Broccoli "&amp;ROUND(200*(('🔥 Calcolatore'!I8/1911))/5,0)*5&amp;"g"</f>
        <v>Zucchine 125g  |  Melanzane 125g  |  Peperoni 125g  |  Finocchi 125g  |  Fagiolini 125g  |  Asparagi 125g  |  Cavolfiore 125g  |  Broccoli 125g</v>
      </c>
      <c r="J24" s="1"/>
      <c r="K24" s="84" t="str">
        <f>"Zucchine "&amp; ROUND(200*('🔥 Calcolatore'!I8/1911)/5,0)*5 &amp;"g"&amp;"  |  ""Broccoli "&amp; ROUND(200*('🔥 Calcolatore'!I8/1911)/5,0)*5 &amp;"g"&amp;"  |  ""Spinaci "&amp; ROUND(200*('🔥 Calcolatore'!I8/1911)/5,0)*5 &amp;"g"&amp;"  |  ""Cavolfiore "&amp; ROUND(200*('🔥 Calcolatore'!I8/1911)/5,0)*5 &amp;"g"</f>
        <v>Zucchine 125g  |  "Broccoli 125g  |  "Spinaci 125g  |  "Cavolfiore 125g</v>
      </c>
      <c r="L24" s="1"/>
      <c r="M24" s="1"/>
      <c r="N24" s="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37.5" customHeight="1">
      <c r="A25" s="1"/>
      <c r="B25" s="85" t="s">
        <v>146</v>
      </c>
      <c r="C25" s="86">
        <f>ROUND(10*(('🔥 Calcolatore'!I8/1911))/5,0)*5</f>
        <v>5</v>
      </c>
      <c r="D25" s="86">
        <f>ROUND(90*(('🔥 Calcolatore'!I8/1911)),0)</f>
        <v>57</v>
      </c>
      <c r="E25" s="87">
        <f>ROUND(0*(('🔥 Calcolatore'!I8/1911)),1)</f>
        <v>0</v>
      </c>
      <c r="F25" s="87">
        <f>ROUND(0*(('🔥 Calcolatore'!I8/1911)),1)</f>
        <v>0</v>
      </c>
      <c r="G25" s="87">
        <f>ROUND(10*(('🔥 Calcolatore'!I8/1911)),1)</f>
        <v>6.3</v>
      </c>
      <c r="H25" s="1"/>
      <c r="I25" s="83" t="str">
        <f>"Burro "&amp;ROUND(12*(('🔥 Calcolatore'!I8/1911))/5,0)*5&amp;"g"&amp;"  |  "&amp;"Parmigiano grattugiato "&amp;ROUND(25*(('🔥 Calcolatore'!I8/1911))/5,0)*5&amp;"g"&amp;"  |  "&amp;"Olive verdi/nere "&amp;ROUND(80*(('🔥 Calcolatore'!I8/1911))/5,0)*5&amp;"g"&amp;"  |  "&amp;"Avocado "&amp;ROUND(55*(('🔥 Calcolatore'!I8/1911))/5,0)*5&amp;"g"&amp;"  |  "&amp;"Semi di lino "&amp;ROUND(15*(('🔥 Calcolatore'!I8/1911))/5,0)*5&amp;"g"</f>
        <v>Burro 10g  |  Parmigiano grattugiato 15g  |  Olive verdi/nere 50g  |  Avocado 35g  |  Semi di lino 10g</v>
      </c>
      <c r="J25" s="1"/>
      <c r="K25" s="84" t="str">
        <f>"Avocado "&amp; ROUND(30*('🔥 Calcolatore'!I8/1911)/5,0)*5 &amp;"g"&amp;"  |  ""Tahini "&amp; ROUND(8*('🔥 Calcolatore'!I8/1911)/5,0)*5 &amp;"g"&amp;"  |  ""Burro di mandorle "&amp; ROUND(8*('🔥 Calcolatore'!I8/1911)/5,0)*5 &amp;"g"&amp;"  |  ""Olive nere "&amp; ROUND(15*('🔥 Calcolatore'!I8/1911)/5,0)*5 &amp;"g"</f>
        <v>Avocado 20g  |  "Tahini 5g  |  "Burro di mandorle 5g  |  "Olive nere 10g</v>
      </c>
      <c r="L25" s="1"/>
      <c r="M25" s="1"/>
      <c r="N25" s="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30.0" customHeight="1">
      <c r="A26" s="1"/>
      <c r="B26" s="80" t="s">
        <v>147</v>
      </c>
      <c r="C26" s="81">
        <v>0.0</v>
      </c>
      <c r="D26" s="81">
        <v>0.0</v>
      </c>
      <c r="E26" s="82">
        <v>0.0</v>
      </c>
      <c r="F26" s="82">
        <v>0.0</v>
      </c>
      <c r="G26" s="82">
        <v>0.0</v>
      </c>
      <c r="H26" s="1"/>
      <c r="I26" s="83" t="s">
        <v>148</v>
      </c>
      <c r="J26" s="1"/>
      <c r="K26" s="84" t="s">
        <v>149</v>
      </c>
      <c r="L26" s="1"/>
      <c r="M26" s="1"/>
      <c r="N26" s="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4.0" customHeight="1">
      <c r="A27" s="1"/>
      <c r="B27" s="94" t="s">
        <v>150</v>
      </c>
      <c r="C27" s="95">
        <f t="shared" ref="C27:G27" si="2">SUM(C21:C25)</f>
        <v>315</v>
      </c>
      <c r="D27" s="95">
        <f t="shared" si="2"/>
        <v>424</v>
      </c>
      <c r="E27" s="96">
        <f t="shared" si="2"/>
        <v>34.8</v>
      </c>
      <c r="F27" s="96">
        <f t="shared" si="2"/>
        <v>47.1</v>
      </c>
      <c r="G27" s="96">
        <f t="shared" si="2"/>
        <v>9.6</v>
      </c>
      <c r="H27" s="1"/>
      <c r="I27" s="97" t="s">
        <v>138</v>
      </c>
      <c r="J27" s="1"/>
      <c r="K27" s="98" t="s">
        <v>139</v>
      </c>
      <c r="L27" s="1"/>
      <c r="M27" s="1"/>
      <c r="N27" s="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31.5" customHeight="1">
      <c r="A28" s="1"/>
      <c r="B28" s="58"/>
      <c r="C28" s="4"/>
      <c r="D28" s="4"/>
      <c r="E28" s="4"/>
      <c r="F28" s="4"/>
      <c r="G28" s="4"/>
      <c r="H28" s="4"/>
      <c r="I28" s="1"/>
      <c r="J28" s="1"/>
      <c r="K28" s="1"/>
      <c r="L28" s="1"/>
      <c r="M28" s="1"/>
      <c r="N28" s="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24.0" customHeight="1">
      <c r="A29" s="1"/>
      <c r="B29" s="74" t="s">
        <v>151</v>
      </c>
      <c r="C29" s="11"/>
      <c r="D29" s="11"/>
      <c r="E29" s="11"/>
      <c r="F29" s="11"/>
      <c r="G29" s="11"/>
      <c r="H29" s="11"/>
      <c r="I29" s="62"/>
      <c r="J29" s="1"/>
      <c r="K29" s="75"/>
      <c r="L29" s="1"/>
      <c r="M29" s="1"/>
      <c r="N29" s="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5.5" customHeight="1">
      <c r="A30" s="1"/>
      <c r="B30" s="100" t="s">
        <v>152</v>
      </c>
      <c r="C30" s="101"/>
      <c r="D30" s="101"/>
      <c r="E30" s="101"/>
      <c r="F30" s="101"/>
      <c r="G30" s="101"/>
      <c r="H30" s="101"/>
      <c r="I30" s="77"/>
      <c r="J30" s="1"/>
      <c r="K30" s="70"/>
      <c r="L30" s="1"/>
      <c r="M30" s="1"/>
      <c r="N30" s="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37.5" customHeight="1">
      <c r="A31" s="1"/>
      <c r="B31" s="78" t="s">
        <v>121</v>
      </c>
      <c r="C31" s="78" t="s">
        <v>122</v>
      </c>
      <c r="D31" s="78" t="s">
        <v>123</v>
      </c>
      <c r="E31" s="78" t="s">
        <v>124</v>
      </c>
      <c r="F31" s="78" t="s">
        <v>125</v>
      </c>
      <c r="G31" s="78" t="s">
        <v>126</v>
      </c>
      <c r="H31" s="1"/>
      <c r="I31" s="78" t="s">
        <v>127</v>
      </c>
      <c r="J31" s="1"/>
      <c r="K31" s="79" t="s">
        <v>128</v>
      </c>
      <c r="L31" s="1"/>
      <c r="M31" s="1"/>
      <c r="N31" s="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37.5" customHeight="1">
      <c r="A32" s="1"/>
      <c r="B32" s="80" t="s">
        <v>153</v>
      </c>
      <c r="C32" s="81">
        <f>ROUND(80*(('🔥 Calcolatore'!I8/1911))/5,0)*5</f>
        <v>50</v>
      </c>
      <c r="D32" s="81">
        <f>ROUND(88*(('🔥 Calcolatore'!I8/1911)),0)</f>
        <v>56</v>
      </c>
      <c r="E32" s="82">
        <f>ROUND(9*(('🔥 Calcolatore'!I8/1911)),1)</f>
        <v>5.7</v>
      </c>
      <c r="F32" s="82">
        <f>ROUND(4*(('🔥 Calcolatore'!I8/1911)),1)</f>
        <v>2.5</v>
      </c>
      <c r="G32" s="82">
        <f>ROUND(4*(('🔥 Calcolatore'!I8/1911)),1)</f>
        <v>2.5</v>
      </c>
      <c r="H32" s="1"/>
      <c r="I32" s="83" t="str">
        <f>"Tonno al naturale "&amp;ROUND(40*(('🔥 Calcolatore'!I8/1911))/5,0)*5&amp;"g"&amp;"  |  "&amp;"Prosciutto cotto magro "&amp;ROUND(60*(('🔥 Calcolatore'!I8/1911))/5,0)*5&amp;"g"&amp;"  |  "&amp;"Bresaola "&amp;ROUND(30*(('🔥 Calcolatore'!I8/1911))/5,0)*5&amp;"g"&amp;"  |  "&amp;"Fesa di tacchino "&amp;ROUND(45*(('🔥 Calcolatore'!I8/1911))/5,0)*5&amp;"g"&amp;"  |  "&amp;"Albumi cotti (≈3 albumi) "&amp;ROUND(95*(('🔥 Calcolatore'!I8/1911))/5,0)*5&amp;"g"&amp;"  |  "&amp;"Salmone affumicato "&amp;ROUND(50*(('🔥 Calcolatore'!I8/1911))/5,0)*5&amp;"g"&amp;"  |  "&amp;"Petto di pollo cotto "&amp;ROUND(35*(('🔥 Calcolatore'!I8/1911))/5,0)*5&amp;"g"</f>
        <v>Tonno al naturale 25g  |  Prosciutto cotto magro 40g  |  Bresaola 20g  |  Fesa di tacchino 30g  |  Albumi cotti (≈3 albumi) 60g  |  Salmone affumicato 30g  |  Petto di pollo cotto 20g</v>
      </c>
      <c r="J32" s="1"/>
      <c r="K32" s="84" t="str">
        <f>"Yogurt di soia proteico "&amp; ROUND(120*('🔥 Calcolatore'!I8/1911)/5,0)*5 &amp;"g"&amp;"  |  ""Tofu silken "&amp; ROUND(100*('🔥 Calcolatore'!I8/1911)/5,0)*5 &amp;"g"&amp;"  |  ""Hummus "&amp; ROUND(80*('🔥 Calcolatore'!I8/1911)/5,0)*5 &amp;"g"&amp;"  |  ""Tempeh "&amp; ROUND(80*('🔥 Calcolatore'!I8/1911)/5,0)*5 &amp;"g"</f>
        <v>Yogurt di soia proteico 75g  |  "Tofu silken 65g  |  "Hummus 50g  |  "Tempeh 50g</v>
      </c>
      <c r="L32" s="1"/>
      <c r="M32" s="1"/>
      <c r="N32" s="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37.5" customHeight="1">
      <c r="A33" s="1"/>
      <c r="B33" s="85" t="s">
        <v>154</v>
      </c>
      <c r="C33" s="86">
        <f>ROUND(15*(('🔥 Calcolatore'!I8/1911))/5,0)*5</f>
        <v>10</v>
      </c>
      <c r="D33" s="86">
        <f>ROUND(90*(('🔥 Calcolatore'!I8/1911)),0)</f>
        <v>57</v>
      </c>
      <c r="E33" s="87">
        <f>ROUND(2.5*(('🔥 Calcolatore'!I8/1911)),1)</f>
        <v>1.6</v>
      </c>
      <c r="F33" s="87">
        <f>ROUND(2.5*(('🔥 Calcolatore'!I8/1911)),1)</f>
        <v>1.6</v>
      </c>
      <c r="G33" s="87">
        <f>ROUND(8*(('🔥 Calcolatore'!I8/1911)),1)</f>
        <v>5.1</v>
      </c>
      <c r="H33" s="1"/>
      <c r="I33" s="83" t="str">
        <f>"Arachidi non salate "&amp;ROUND(15*(('🔥 Calcolatore'!I8/1911))/5,0)*5&amp;"g"&amp;"  |  "&amp;"Anacardi "&amp;ROUND(15*(('🔥 Calcolatore'!I8/1911))/5,0)*5&amp;"g"&amp;"  |  "&amp;"Noci "&amp;ROUND(15*(('🔥 Calcolatore'!I8/1911))/5,0)*5&amp;"g"&amp;"  |  "&amp;"Mandorle "&amp;ROUND(15*(('🔥 Calcolatore'!I8/1911))/5,0)*5&amp;"g"&amp;"  |  "&amp;"Nocciole "&amp;ROUND(15*(('🔥 Calcolatore'!I8/1911))/5,0)*5&amp;"g"</f>
        <v>Arachidi non salate 10g  |  Anacardi 10g  |  Noci 10g  |  Mandorle 10g  |  Nocciole 10g</v>
      </c>
      <c r="J33" s="1"/>
      <c r="K33" s="84" t="str">
        <f>"Semi di chia "&amp; ROUND(15*('🔥 Calcolatore'!I8/1911)/5,0)*5 &amp;"g"&amp;"  |  ""Burro d'arachidi "&amp; ROUND(12*('🔥 Calcolatore'!I8/1911)/5,0)*5 &amp;"g"&amp;"  |  ""Semi di canapa "&amp; ROUND(15*('🔥 Calcolatore'!I8/1911)/5,0)*5 &amp;"g"&amp;"  |  ""Pistacchi "&amp; ROUND(15*('🔥 Calcolatore'!I8/1911)/5,0)*5 &amp;"g"</f>
        <v>Semi di chia 10g  |  "Burro d'arachidi 10g  |  "Semi di canapa 10g  |  "Pistacchi 10g</v>
      </c>
      <c r="L33" s="1"/>
      <c r="M33" s="1"/>
      <c r="N33" s="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30.0" customHeight="1">
      <c r="A34" s="1"/>
      <c r="B34" s="80" t="s">
        <v>155</v>
      </c>
      <c r="C34" s="81">
        <f>ROUND(130*(('🔥 Calcolatore'!I8/1911))/5,0)*5</f>
        <v>80</v>
      </c>
      <c r="D34" s="81">
        <f>ROUND(68*(('🔥 Calcolatore'!I8/1911)),0)</f>
        <v>43</v>
      </c>
      <c r="E34" s="82">
        <f>ROUND(0.3*(('🔥 Calcolatore'!I8/1911)),1)</f>
        <v>0.2</v>
      </c>
      <c r="F34" s="82">
        <f>ROUND(17*(('🔥 Calcolatore'!I8/1911)),1)</f>
        <v>10.8</v>
      </c>
      <c r="G34" s="82">
        <f>ROUND(0.3*(('🔥 Calcolatore'!I8/1911)),1)</f>
        <v>0.2</v>
      </c>
      <c r="H34" s="1"/>
      <c r="I34" s="83" t="str">
        <f>"Banana "&amp;ROUND(75*(('🔥 Calcolatore'!I8/1911))/5,0)*5&amp;"g"&amp;"  |  "&amp;"Mela "&amp;ROUND(130*(('🔥 Calcolatore'!I8/1911))/5,0)*5&amp;"g"&amp;"  |  "&amp;"Arancia "&amp;ROUND(155*(('🔥 Calcolatore'!I8/1911))/5,0)*5&amp;"g"&amp;"  |  "&amp;"Kiwi "&amp;ROUND(135*(('🔥 Calcolatore'!I8/1911))/5,0)*5&amp;"g"&amp;"  |  "&amp;"Pera "&amp;ROUND(130*(('🔥 Calcolatore'!I8/1911))/5,0)*5&amp;"g"&amp;"  |  "&amp;"Mandarini "&amp;ROUND(145*(('🔥 Calcolatore'!I8/1911))/5,0)*5&amp;"g"&amp;"  |  "&amp;"Frutti di bosco "&amp;ROUND(160*(('🔥 Calcolatore'!I8/1911))/5,0)*5&amp;"g"</f>
        <v>Banana 45g  |  Mela 80g  |  Arancia 100g  |  Kiwi 85g  |  Pera 80g  |  Mandarini 90g  |  Frutti di bosco 100g</v>
      </c>
      <c r="J34" s="1"/>
      <c r="K34" s="84" t="str">
        <f>"Banana "&amp; ROUND(100*('🔥 Calcolatore'!I8/1911)/5,0)*5 &amp;"g"&amp;"  |  ""Frutta fresca di stagione "&amp; ROUND(150*('🔥 Calcolatore'!I8/1911)/5,0)*5 &amp;"g"</f>
        <v>Banana 65g  |  "Frutta fresca di stagione 95g</v>
      </c>
      <c r="L34" s="1"/>
      <c r="M34" s="1"/>
      <c r="N34" s="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3.25" customHeight="1">
      <c r="A35" s="1"/>
      <c r="B35" s="94" t="s">
        <v>156</v>
      </c>
      <c r="C35" s="95">
        <f t="shared" ref="C35:G35" si="3">SUM(C32:C34)</f>
        <v>140</v>
      </c>
      <c r="D35" s="95">
        <f t="shared" si="3"/>
        <v>156</v>
      </c>
      <c r="E35" s="96">
        <f t="shared" si="3"/>
        <v>7.5</v>
      </c>
      <c r="F35" s="96">
        <f t="shared" si="3"/>
        <v>14.9</v>
      </c>
      <c r="G35" s="96">
        <f t="shared" si="3"/>
        <v>7.8</v>
      </c>
      <c r="H35" s="1"/>
      <c r="I35" s="97" t="s">
        <v>138</v>
      </c>
      <c r="J35" s="1"/>
      <c r="K35" s="98" t="s">
        <v>139</v>
      </c>
      <c r="L35" s="1"/>
      <c r="M35" s="1"/>
      <c r="N35" s="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31.5" customHeight="1">
      <c r="A36" s="1"/>
      <c r="B36" s="58"/>
      <c r="C36" s="4"/>
      <c r="D36" s="4"/>
      <c r="E36" s="4"/>
      <c r="F36" s="4"/>
      <c r="G36" s="4"/>
      <c r="H36" s="4"/>
      <c r="I36" s="1"/>
      <c r="J36" s="1"/>
      <c r="K36" s="1"/>
      <c r="L36" s="1"/>
      <c r="M36" s="1"/>
      <c r="N36" s="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24.0" customHeight="1">
      <c r="A37" s="1"/>
      <c r="B37" s="74" t="s">
        <v>157</v>
      </c>
      <c r="C37" s="11"/>
      <c r="D37" s="11"/>
      <c r="E37" s="11"/>
      <c r="F37" s="11"/>
      <c r="G37" s="11"/>
      <c r="H37" s="11"/>
      <c r="I37" s="62"/>
      <c r="J37" s="1"/>
      <c r="K37" s="75"/>
      <c r="L37" s="1"/>
      <c r="M37" s="1"/>
      <c r="N37" s="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25.5" customHeight="1">
      <c r="A38" s="1"/>
      <c r="B38" s="100" t="s">
        <v>158</v>
      </c>
      <c r="C38" s="101"/>
      <c r="D38" s="101"/>
      <c r="E38" s="101"/>
      <c r="F38" s="101"/>
      <c r="G38" s="101"/>
      <c r="H38" s="101"/>
      <c r="I38" s="77"/>
      <c r="J38" s="1"/>
      <c r="K38" s="70"/>
      <c r="L38" s="1"/>
      <c r="M38" s="1"/>
      <c r="N38" s="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51.75" customHeight="1">
      <c r="A39" s="1"/>
      <c r="B39" s="78" t="s">
        <v>121</v>
      </c>
      <c r="C39" s="78" t="s">
        <v>122</v>
      </c>
      <c r="D39" s="78" t="s">
        <v>123</v>
      </c>
      <c r="E39" s="78" t="s">
        <v>124</v>
      </c>
      <c r="F39" s="78" t="s">
        <v>125</v>
      </c>
      <c r="G39" s="78" t="s">
        <v>126</v>
      </c>
      <c r="H39" s="1"/>
      <c r="I39" s="78" t="s">
        <v>127</v>
      </c>
      <c r="J39" s="1"/>
      <c r="K39" s="79" t="s">
        <v>128</v>
      </c>
      <c r="L39" s="1"/>
      <c r="M39" s="1"/>
      <c r="N39" s="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37.5" customHeight="1">
      <c r="A40" s="1"/>
      <c r="B40" s="80" t="s">
        <v>159</v>
      </c>
      <c r="C40" s="81">
        <f>ROUND(126.67*(('🔥 Calcolatore'!I8/1911))/5,0)*5</f>
        <v>80</v>
      </c>
      <c r="D40" s="81">
        <f>ROUND(162*(('🔥 Calcolatore'!I8/1911)),0)</f>
        <v>102</v>
      </c>
      <c r="E40" s="82">
        <f>ROUND(25.3*(('🔥 Calcolatore'!I8/1911)),1)</f>
        <v>16</v>
      </c>
      <c r="F40" s="82">
        <f>ROUND(0*(('🔥 Calcolatore'!I8/1911)),1)</f>
        <v>0</v>
      </c>
      <c r="G40" s="82">
        <f>ROUND(6.3*(('🔥 Calcolatore'!I8/1911)),1)</f>
        <v>4</v>
      </c>
      <c r="H40" s="1"/>
      <c r="I40" s="83" t="str">
        <f>"Petto di pollo "&amp;ROUND(90*(('🔥 Calcolatore'!I8/1911))/5,0)*5&amp;"g"&amp;"  |  "&amp;"Lonza di maiale magra "&amp;ROUND(100*(('🔥 Calcolatore'!I8/1911))/5,0)*5&amp;"g"&amp;"  |  "&amp;"Fesa di vitello "&amp;ROUND(140*(('🔥 Calcolatore'!I8/1911))/5,0)*5&amp;"g"&amp;"  |  "&amp;"Bistecca di manzo magra "&amp;ROUND(95*(('🔥 Calcolatore'!I8/1911))/5,0)*5&amp;"g"&amp;"  |  "&amp;"Tonno al naturale "&amp;ROUND(145*(('🔥 Calcolatore'!I8/1911))/5,0)*5&amp;"g"&amp;"  |  "&amp;"Gamberetti "&amp;ROUND(205*(('🔥 Calcolatore'!I8/1911))/5,0)*5&amp;"g"</f>
        <v>Petto di pollo 55g  |  Lonza di maiale magra 65g  |  Fesa di vitello 90g  |  Bistecca di manzo magra 60g  |  Tonno al naturale 90g  |  Gamberetti 130g</v>
      </c>
      <c r="J40" s="1"/>
      <c r="K40" s="84" t="str">
        <f>"Tofu compatto grigliato "&amp; ROUND(200*('🔥 Calcolatore'!I8/1911)/5,0)*5 &amp;"g"&amp;"  |  ""Tempeh alle erbe "&amp; ROUND(160*('🔥 Calcolatore'!I8/1911)/5,0)*5 &amp;"g"&amp;"  |  ""Burger di lenticchie "&amp; ROUND(180*('🔥 Calcolatore'!I8/1911)/5,0)*5 &amp;"g"&amp;"  |  ""Seitan "&amp; ROUND(150*('🔥 Calcolatore'!I8/1911)/5,0)*5 &amp;"g"</f>
        <v>Tofu compatto grigliato 125g  |  "Tempeh alle erbe 100g  |  "Burger di lenticchie 115g  |  "Seitan 95g</v>
      </c>
      <c r="L40" s="1"/>
      <c r="M40" s="1"/>
      <c r="N40" s="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37.5" customHeight="1">
      <c r="A41" s="1"/>
      <c r="B41" s="85" t="s">
        <v>160</v>
      </c>
      <c r="C41" s="86">
        <f>ROUND(87*(('🔥 Calcolatore'!I8/1911))/5,0)*5</f>
        <v>55</v>
      </c>
      <c r="D41" s="86">
        <f>ROUND(75*(('🔥 Calcolatore'!I8/1911)),0)</f>
        <v>47</v>
      </c>
      <c r="E41" s="87">
        <f>ROUND(1.8*(('🔥 Calcolatore'!I8/1911)),1)</f>
        <v>1.1</v>
      </c>
      <c r="F41" s="87">
        <f>ROUND(17.4*(('🔥 Calcolatore'!I8/1911)),1)</f>
        <v>11</v>
      </c>
      <c r="G41" s="87">
        <f>ROUND(0.1*(('🔥 Calcolatore'!I8/1911)),1)</f>
        <v>0.1</v>
      </c>
      <c r="H41" s="1"/>
      <c r="I41" s="83" t="str">
        <f>"Patate bollite "&amp;ROUND(120*(('🔥 Calcolatore'!I8/1911))/5,0)*5&amp;"g"&amp;"  |  "&amp;"Riso cotto "&amp;ROUND(70*(('🔥 Calcolatore'!I8/1911))/5,0)*5&amp;"g"&amp;"  |  "&amp;"Pasta cotta "&amp;ROUND(60*(('🔥 Calcolatore'!I8/1911))/5,0)*5&amp;"g"&amp;"  |  "&amp;"Lenticchie cotte "&amp;ROUND(80*(('🔥 Calcolatore'!I8/1911))/5,0)*5&amp;"g"&amp;"  |  "&amp;"Ceci cotti "&amp;ROUND(55*(('🔥 Calcolatore'!I8/1911))/5,0)*5&amp;"g"&amp;"  |  "&amp;"Fagioli borlotti cotti "&amp;ROUND(80*(('🔥 Calcolatore'!I8/1911))/5,0)*5&amp;"g"&amp;"  |  "&amp;"Farro cotto "&amp;ROUND(70*(('🔥 Calcolatore'!I8/1911))/5,0)*5&amp;"g"</f>
        <v>Patate bollite 75g  |  Riso cotto 45g  |  Pasta cotta 40g  |  Lenticchie cotte 50g  |  Ceci cotti 35g  |  Fagioli borlotti cotti 50g  |  Farro cotto 45g</v>
      </c>
      <c r="J41" s="1"/>
      <c r="K41" s="84" t="str">
        <f>"Lenticchie rosse cotte "&amp; ROUND(180*('🔥 Calcolatore'!I8/1911)/5,0)*5 &amp;"g"&amp;"  |  ""Fagioli neri "&amp; ROUND(160*('🔥 Calcolatore'!I8/1911)/5,0)*5 &amp;"g"&amp;"  |  ""Ceci al forno "&amp; ROUND(130*('🔥 Calcolatore'!I8/1911)/5,0)*5 &amp;"g"&amp;"  |  ""Piselli "&amp; ROUND(150*('🔥 Calcolatore'!I8/1911)/5,0)*5 &amp;"g"</f>
        <v>Lenticchie rosse cotte 115g  |  "Fagioli neri 100g  |  "Ceci al forno 80g  |  "Piselli 95g</v>
      </c>
      <c r="L41" s="1"/>
      <c r="M41" s="1"/>
      <c r="N41" s="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30.0" customHeight="1">
      <c r="A42" s="1"/>
      <c r="B42" s="80" t="s">
        <v>161</v>
      </c>
      <c r="C42" s="81">
        <f>ROUND(200*(('🔥 Calcolatore'!I8/1911))/5,0)*5</f>
        <v>125</v>
      </c>
      <c r="D42" s="81">
        <f>ROUND(35*(('🔥 Calcolatore'!I8/1911)),0)</f>
        <v>22</v>
      </c>
      <c r="E42" s="82">
        <f>ROUND(2*(('🔥 Calcolatore'!I8/1911)),1)</f>
        <v>1.3</v>
      </c>
      <c r="F42" s="82">
        <f>ROUND(5.5*(('🔥 Calcolatore'!I8/1911)),1)</f>
        <v>3.5</v>
      </c>
      <c r="G42" s="82">
        <f>ROUND(0.5*(('🔥 Calcolatore'!I8/1911)),1)</f>
        <v>0.3</v>
      </c>
      <c r="H42" s="1"/>
      <c r="I42" s="83" t="str">
        <f>"Pomodori "&amp;ROUND(175*(('🔥 Calcolatore'!I8/1911))/5,0)*5&amp;"g"&amp;"  |  "&amp;"Rucola + pomodorini "&amp;ROUND(200*(('🔥 Calcolatore'!I8/1911))/5,0)*5&amp;"g"&amp;"  |  "&amp;"Finocchi "&amp;ROUND(200*(('🔥 Calcolatore'!I8/1911))/5,0)*5&amp;"g"&amp;"  |  "&amp;"Spinaci freschi "&amp;ROUND(200*(('🔥 Calcolatore'!I8/1911))/5,0)*5&amp;"g"&amp;"  |  "&amp;"Cetrioli + peperoni "&amp;ROUND(200*(('🔥 Calcolatore'!I8/1911))/5,0)*5&amp;"g"</f>
        <v>Pomodori 110g  |  Rucola + pomodorini 125g  |  Finocchi 125g  |  Spinaci freschi 125g  |  Cetrioli + peperoni 125g</v>
      </c>
      <c r="J42" s="1"/>
      <c r="K42" s="84" t="str">
        <f>"Rucola "&amp; ROUND(100*('🔥 Calcolatore'!I8/1911)/5,0)*5 &amp;"g + pomodori 100g"&amp;"  |  ""Cavolo nero massaggiato "&amp; ROUND(120*('🔥 Calcolatore'!I8/1911)/5,0)*5 &amp;"g"&amp;"  |  ""Finocchio "&amp; ROUND(150*('🔥 Calcolatore'!I8/1911)/5,0)*5 &amp;"g"&amp;"  |  ""Spinaci freschi "&amp; ROUND(150*('🔥 Calcolatore'!I8/1911)/5,0)*5 &amp;"g"</f>
        <v>Rucola 65g + pomodori 100g  |  "Cavolo nero massaggiato 75g  |  "Finocchio 95g  |  "Spinaci freschi 95g</v>
      </c>
      <c r="L42" s="1"/>
      <c r="M42" s="1"/>
      <c r="N42" s="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30.0" customHeight="1">
      <c r="A43" s="1"/>
      <c r="B43" s="85" t="s">
        <v>146</v>
      </c>
      <c r="C43" s="86">
        <f>ROUND(10*(('🔥 Calcolatore'!I8/1911))/5,0)*5</f>
        <v>5</v>
      </c>
      <c r="D43" s="86">
        <f>ROUND(90*(('🔥 Calcolatore'!I8/1911)),0)</f>
        <v>57</v>
      </c>
      <c r="E43" s="87">
        <f>ROUND(0*(('🔥 Calcolatore'!I8/1911)),1)</f>
        <v>0</v>
      </c>
      <c r="F43" s="87">
        <f>ROUND(0*(('🔥 Calcolatore'!I8/1911)),1)</f>
        <v>0</v>
      </c>
      <c r="G43" s="87">
        <f>ROUND(10*(('🔥 Calcolatore'!I8/1911)),1)</f>
        <v>6.3</v>
      </c>
      <c r="H43" s="1"/>
      <c r="I43" s="83" t="str">
        <f>"Parmigiano grattugiato "&amp;ROUND(25*(('🔥 Calcolatore'!I8/1911))/5,0)*5&amp;"g"&amp;"  |  "&amp;"Olive "&amp;ROUND(80*(('🔥 Calcolatore'!I8/1911))/5,0)*5&amp;"g"&amp;"  |  "&amp;"Avocado "&amp;ROUND(55*(('🔥 Calcolatore'!I8/1911))/5,0)*5&amp;"g"&amp;"  |  "&amp;"Burro "&amp;ROUND(12*(('🔥 Calcolatore'!I8/1911))/5,0)*5&amp;"g"</f>
        <v>Parmigiano grattugiato 15g  |  Olive 50g  |  Avocado 35g  |  Burro 10g</v>
      </c>
      <c r="J43" s="1"/>
      <c r="K43" s="84" t="str">
        <f>"Avocado "&amp; ROUND(25*('🔥 Calcolatore'!I8/1911)/5,0)*5 &amp;"g"&amp;"  |  ""Olive nere "&amp; ROUND(20*('🔥 Calcolatore'!I8/1911)/5,0)*5 &amp;"g"&amp;"  |  ""Tahini "&amp; ROUND(8*('🔥 Calcolatore'!I8/1911)/5,0)*5 &amp;"g"</f>
        <v>Avocado 15g  |  "Olive nere 15g  |  "Tahini 5g</v>
      </c>
      <c r="L43" s="1"/>
      <c r="M43" s="1"/>
      <c r="N43" s="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27.75" customHeight="1">
      <c r="A44" s="1"/>
      <c r="B44" s="94" t="s">
        <v>162</v>
      </c>
      <c r="C44" s="95">
        <f t="shared" ref="C44:G44" si="4">SUM(C40:C43)</f>
        <v>265</v>
      </c>
      <c r="D44" s="95">
        <f t="shared" si="4"/>
        <v>228</v>
      </c>
      <c r="E44" s="96">
        <f t="shared" si="4"/>
        <v>18.4</v>
      </c>
      <c r="F44" s="96">
        <f t="shared" si="4"/>
        <v>14.5</v>
      </c>
      <c r="G44" s="96">
        <f t="shared" si="4"/>
        <v>10.7</v>
      </c>
      <c r="H44" s="1"/>
      <c r="I44" s="97" t="s">
        <v>138</v>
      </c>
      <c r="J44" s="1"/>
      <c r="K44" s="98" t="s">
        <v>139</v>
      </c>
      <c r="L44" s="1"/>
      <c r="M44" s="1"/>
      <c r="N44" s="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9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42.0" customHeight="1">
      <c r="A46" s="1"/>
      <c r="B46" s="1"/>
      <c r="C46" s="1"/>
      <c r="D46" s="1"/>
      <c r="E46" s="1"/>
      <c r="F46" s="1"/>
      <c r="G46" s="1"/>
      <c r="H46" s="1"/>
      <c r="I46" s="102"/>
      <c r="J46" s="1"/>
      <c r="K46" s="1"/>
      <c r="L46" s="1"/>
      <c r="M46" s="1"/>
      <c r="N46" s="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36.0" customHeight="1">
      <c r="A47" s="1"/>
      <c r="B47" s="103" t="s">
        <v>163</v>
      </c>
      <c r="C47" s="104"/>
      <c r="D47" s="105">
        <f t="shared" ref="D47:E47" si="5">D17+D27+D35+D44</f>
        <v>1209</v>
      </c>
      <c r="E47" s="106">
        <f t="shared" si="5"/>
        <v>106.3</v>
      </c>
      <c r="F47" s="11"/>
      <c r="G47" s="104"/>
      <c r="H47" s="1"/>
      <c r="I47" s="102"/>
      <c r="J47" s="1"/>
      <c r="K47" s="102"/>
      <c r="L47" s="1"/>
      <c r="M47" s="1"/>
      <c r="N47" s="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9.5" customHeight="1">
      <c r="A48" s="1"/>
      <c r="B48" s="107" t="s">
        <v>164</v>
      </c>
      <c r="C48" s="108"/>
      <c r="D48" s="109">
        <f>D47-'🔥 Calcolatore'!I8</f>
        <v>0.21875</v>
      </c>
      <c r="E48" s="110" t="str">
        <f>IFERROR(IF(ABS(D47-'🔥 Calcolatore'!I8)&lt;120,"✅ Sei nel target",IF(D47&gt;'🔥 Calcolatore'!I8,"⚠️ Sopra il target","⬇️ Sotto il target")),"")</f>
        <v>✅ Sei nel target</v>
      </c>
      <c r="F48" s="108"/>
      <c r="G48" s="108"/>
      <c r="H48" s="1"/>
      <c r="I48" s="102"/>
      <c r="J48" s="1"/>
      <c r="K48" s="102"/>
      <c r="L48" s="1"/>
      <c r="M48" s="1"/>
      <c r="N48" s="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54.75" customHeight="1">
      <c r="A49" s="1"/>
      <c r="B49" s="58"/>
      <c r="C49" s="4"/>
      <c r="D49" s="4"/>
      <c r="E49" s="4"/>
      <c r="F49" s="4"/>
      <c r="G49" s="4"/>
      <c r="H49" s="4"/>
      <c r="I49" s="102"/>
      <c r="J49" s="1"/>
      <c r="K49" s="102"/>
      <c r="L49" s="1"/>
      <c r="M49" s="1"/>
      <c r="N49" s="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36.0" customHeight="1">
      <c r="A50" s="1"/>
      <c r="B50" s="111" t="s">
        <v>165</v>
      </c>
      <c r="C50" s="20"/>
      <c r="D50" s="20"/>
      <c r="E50" s="20"/>
      <c r="F50" s="20"/>
      <c r="G50" s="20"/>
      <c r="H50" s="20"/>
      <c r="I50" s="20"/>
      <c r="J50" s="20"/>
      <c r="K50" s="112"/>
      <c r="L50" s="1"/>
      <c r="M50" s="1"/>
      <c r="N50" s="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94.5" customHeight="1">
      <c r="A51" s="1"/>
      <c r="B51" s="113" t="s">
        <v>166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8:H28"/>
    <mergeCell ref="B29:H29"/>
    <mergeCell ref="B36:H36"/>
    <mergeCell ref="B37:H37"/>
    <mergeCell ref="B47:C47"/>
    <mergeCell ref="E47:G47"/>
    <mergeCell ref="B49:H49"/>
    <mergeCell ref="B50:K50"/>
    <mergeCell ref="B2:H2"/>
    <mergeCell ref="B3:H3"/>
    <mergeCell ref="B4:C4"/>
    <mergeCell ref="B7:H7"/>
    <mergeCell ref="B8:H8"/>
    <mergeCell ref="B18:H18"/>
    <mergeCell ref="B19:H1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9E0B"/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2.0"/>
    <col customWidth="1" min="2" max="2" width="32.0"/>
    <col customWidth="1" min="3" max="4" width="10.0"/>
    <col customWidth="1" min="5" max="5" width="16.29"/>
    <col customWidth="1" min="6" max="7" width="10.0"/>
    <col customWidth="1" min="8" max="8" width="2.0"/>
    <col customWidth="1" min="9" max="9" width="80.0"/>
    <col customWidth="1" min="10" max="10" width="2.0"/>
    <col customWidth="1" min="11" max="11" width="80.0"/>
    <col customWidth="1" min="12" max="13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54.75" customHeight="1">
      <c r="A2" s="1"/>
      <c r="B2" s="32" t="s">
        <v>167</v>
      </c>
      <c r="C2" s="4"/>
      <c r="D2" s="4"/>
      <c r="E2" s="4"/>
      <c r="F2" s="4"/>
      <c r="G2" s="4"/>
      <c r="H2" s="4"/>
      <c r="I2" s="4"/>
      <c r="J2" s="4"/>
      <c r="K2" s="4"/>
      <c r="L2" s="1"/>
      <c r="M2" s="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0.0" customHeight="1">
      <c r="A3" s="1"/>
      <c r="B3" s="64" t="str">
        <f>"Piano basato su: "&amp;TEXT('🔥 Calcolatore'!D6,"0.0")&amp;" kg  |  Target: "&amp;TEXT('🔥 Calcolatore'!I8,"#,##0")&amp;" kcal  |  Porzioni aggiornate automaticamente"</f>
        <v>Piano basato su: 68,0 kg  |  Target: 1.209 kcal  |  Porzioni aggiornate automaticamente</v>
      </c>
      <c r="C3" s="15"/>
      <c r="D3" s="15"/>
      <c r="E3" s="15"/>
      <c r="F3" s="15"/>
      <c r="G3" s="15"/>
      <c r="H3" s="15"/>
      <c r="I3" s="15"/>
      <c r="J3" s="15"/>
      <c r="K3" s="15"/>
      <c r="L3" s="1"/>
      <c r="M3" s="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39.75" customHeight="1">
      <c r="A4" s="1"/>
      <c r="B4" s="114" t="s">
        <v>168</v>
      </c>
      <c r="C4" s="20"/>
      <c r="D4" s="68">
        <f>'🔥 Calcolatore'!I8</f>
        <v>1208.78125</v>
      </c>
      <c r="E4" s="69" t="s">
        <v>115</v>
      </c>
      <c r="F4" s="1"/>
      <c r="G4" s="1"/>
      <c r="H4" s="1"/>
      <c r="I4" s="1"/>
      <c r="J4" s="1"/>
      <c r="K4" s="1"/>
      <c r="L4" s="1"/>
      <c r="M4" s="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5.5" customHeight="1">
      <c r="A5" s="1"/>
      <c r="B5" s="23" t="s">
        <v>169</v>
      </c>
      <c r="C5" s="115">
        <f>'🔥 Calcolatore'!I11/4</f>
        <v>136</v>
      </c>
      <c r="D5" s="23" t="s">
        <v>170</v>
      </c>
      <c r="E5" s="72">
        <f>'🔥 Calcolatore'!I12/9</f>
        <v>33.57725694</v>
      </c>
      <c r="F5" s="23" t="s">
        <v>171</v>
      </c>
      <c r="G5" s="116">
        <f>'🔥 Calcolatore'!I13/4</f>
        <v>90.64648438</v>
      </c>
      <c r="H5" s="1"/>
      <c r="I5" s="1"/>
      <c r="J5" s="1"/>
      <c r="K5" s="1"/>
      <c r="L5" s="1"/>
      <c r="M5" s="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9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31.5" customHeight="1">
      <c r="A7" s="1"/>
      <c r="B7" s="117" t="s">
        <v>119</v>
      </c>
      <c r="C7" s="4"/>
      <c r="D7" s="4"/>
      <c r="E7" s="4"/>
      <c r="F7" s="4"/>
      <c r="G7" s="4"/>
      <c r="H7" s="4"/>
      <c r="I7" s="4"/>
      <c r="J7" s="4"/>
      <c r="K7" s="4"/>
      <c r="L7" s="1"/>
      <c r="M7" s="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21.75" customHeight="1">
      <c r="A8" s="1"/>
      <c r="B8" s="76" t="s">
        <v>172</v>
      </c>
      <c r="C8" s="4"/>
      <c r="D8" s="4"/>
      <c r="E8" s="4"/>
      <c r="F8" s="4"/>
      <c r="G8" s="4"/>
      <c r="H8" s="4"/>
      <c r="I8" s="4"/>
      <c r="J8" s="4"/>
      <c r="K8" s="4"/>
      <c r="L8" s="1"/>
      <c r="M8" s="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25.5" customHeight="1">
      <c r="A9" s="1"/>
      <c r="B9" s="118" t="s">
        <v>121</v>
      </c>
      <c r="C9" s="118" t="s">
        <v>122</v>
      </c>
      <c r="D9" s="118" t="s">
        <v>123</v>
      </c>
      <c r="E9" s="118" t="s">
        <v>124</v>
      </c>
      <c r="F9" s="118" t="s">
        <v>125</v>
      </c>
      <c r="G9" s="118" t="s">
        <v>126</v>
      </c>
      <c r="H9" s="1"/>
      <c r="I9" s="118" t="s">
        <v>127</v>
      </c>
      <c r="J9" s="1"/>
      <c r="K9" s="119" t="s">
        <v>128</v>
      </c>
      <c r="L9" s="1"/>
      <c r="M9" s="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73.5" customHeight="1">
      <c r="A10" s="1"/>
      <c r="B10" s="120" t="str">
        <f>"Uova intere ("&amp; MAX(1,ROUND(150*('🔥 Calcolatore'!I8/1911)*1.015175/55,0)) &amp;" uova)"</f>
        <v>Uova intere (2 uova)</v>
      </c>
      <c r="C10" s="121">
        <f>ROUND(150*(('🔥 Calcolatore'!I8/1911)*1.015175)/5,0)*5</f>
        <v>95</v>
      </c>
      <c r="D10" s="122">
        <f>ROUND(233*(('🔥 Calcolatore'!I8/1911)*1.015175),0)</f>
        <v>150</v>
      </c>
      <c r="E10" s="123">
        <f>ROUND(19.5*(('🔥 Calcolatore'!I8/1911)*1.015175),1)</f>
        <v>12.5</v>
      </c>
      <c r="F10" s="123">
        <f>ROUND(1.6*(('🔥 Calcolatore'!I8/1911)*1.015175),1)</f>
        <v>1</v>
      </c>
      <c r="G10" s="123">
        <f>ROUND(16.5*(('🔥 Calcolatore'!I8/1911)*1.015175),1)</f>
        <v>10.6</v>
      </c>
      <c r="H10" s="1"/>
      <c r="I10" s="83" t="str">
        <f>"Ricotta intera "&amp; ROUND(130*('🔥 Calcolatore'!I8/1911)*1.015175/5,0)*5 &amp;"g"&amp;"  |  ""Formaggio fresco "&amp; ROUND(160*('🔥 Calcolatore'!I8/1911)*1.015175/5,0)*5 &amp;"g"&amp;"  |  ""Crescenza "&amp; ROUND(135*('🔥 Calcolatore'!I8/1911)*1.015175/5,0)*5 &amp;"g"&amp;"  |  ""Stracchino "&amp; ROUND(175*('🔥 Calcolatore'!I8/1911)*1.015175/5,0)*5 &amp;"g"&amp;"  |  ""Quark intero "&amp; ROUND(150*('🔥 Calcolatore'!I8/1911)*1.015175/5,0)*5 &amp;"g + olio EVO 8g"&amp;"  |  ""Fiocchi di latte "&amp; ROUND(100*('🔥 Calcolatore'!I8/1911)*1.015175/5,0)*5 &amp;"g + olio EVO 10g"&amp;"  |  ""Prosciutto cotto "&amp; ROUND(110*('🔥 Calcolatore'!I8/1911)*1.015175/5,0)*5 &amp;"g + olio EVO 7g"&amp;"  |  ""Tonno al naturale "&amp; ROUND(100*('🔥 Calcolatore'!I8/1911)*1.015175/5,0)*5 &amp;"g + olio EVO 8g"&amp;"  |  ""Tacchino a fette "&amp; ROUND(100*('🔥 Calcolatore'!I8/1911)*1.015175/5,0)*5 &amp;"g + olio EVO 8g"&amp;"  |  ""Whey isolate "&amp; ROUND(25*('🔥 Calcolatore'!I8/1911)*1.015175/5,0)*5 &amp;"g + burro mandorle 12g"&amp;"  |  ""Salmone affumicato "&amp; ROUND(100*('🔥 Calcolatore'!I8/1911)*1.015175/5,0)*5 &amp;"g"&amp;"  |  ""Tacchino a fette "&amp; ROUND(90*('🔥 Calcolatore'!I8/1911)*1.015175/5,0)*5 &amp;"g + noci 15g"&amp;"  |  ""Bresaola "&amp; ROUND(60*('🔥 Calcolatore'!I8/1911)*1.015175/5,0)*5 &amp;"g + fondente 85% 15g"&amp;"  |  ""Sgombro al naturale "&amp; ROUND(120*('🔥 Calcolatore'!I8/1911)*1.015175/5,0)*5 &amp;"g"</f>
        <v>Ricotta intera 85g  |  "Formaggio fresco 105g  |  "Crescenza 85g  |  "Stracchino 110g  |  "Quark intero 95g + olio EVO 8g  |  "Fiocchi di latte 65g + olio EVO 10g  |  "Prosciutto cotto 70g + olio EVO 7g  |  "Tonno al naturale 65g + olio EVO 8g  |  "Tacchino a fette 65g + olio EVO 8g  |  "Whey isolate 15g + burro mandorle 12g  |  "Salmone affumicato 65g  |  "Tacchino a fette 60g + noci 15g  |  "Bresaola 40g + fondente 85% 15g  |  "Sgombro al naturale 75g</v>
      </c>
      <c r="J10" s="1"/>
      <c r="K10" s="84" t="str">
        <f>"Tofu strapazzato con curcuma "&amp; ROUND(150*('🔥 Calcolatore'!I8/1911)*1.015175/5,0)*5 &amp;"g"&amp;"  |  ""Frittata di ceci (farinata) "&amp; ROUND(130*('🔥 Calcolatore'!I8/1911)*1.015175/5,0)*5 &amp;"g"&amp;"  |  ""Tempeh a fette "&amp; ROUND(100*('🔥 Calcolatore'!I8/1911)*1.015175/5,0)*5 &amp;"g"&amp;"  |  ""Lupini sgusciati "&amp; ROUND(110*('🔥 Calcolatore'!I8/1911)*1.015175/5,0)*5 &amp;"g"&amp;"  |  ""Proteine vegane in polvere "&amp; ROUND(35*('🔥 Calcolatore'!I8/1911)*1.015175/5,0)*5 &amp;"g + latte vegetale 200ml"</f>
        <v>Tofu strapazzato con curcuma 95g  |  "Frittata di ceci (farinata) 85g  |  "Tempeh a fette 65g  |  "Lupini sgusciati 70g  |  "Proteine vegane in polvere 20g + latte vegetale 200ml</v>
      </c>
      <c r="L10" s="1"/>
      <c r="M10" s="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37.5" customHeight="1">
      <c r="A11" s="1"/>
      <c r="B11" s="88" t="s">
        <v>129</v>
      </c>
      <c r="C11" s="89">
        <f>ROUND(100*(('🔥 Calcolatore'!I8/1911)*1.015175)/5,0)*5</f>
        <v>65</v>
      </c>
      <c r="D11" s="90">
        <f>ROUND(52*(('🔥 Calcolatore'!I8/1911)*1.015175),0)</f>
        <v>33</v>
      </c>
      <c r="E11" s="91">
        <f>ROUND(11*(('🔥 Calcolatore'!I8/1911)*1.015175),1)</f>
        <v>7.1</v>
      </c>
      <c r="F11" s="91">
        <f>ROUND(0.7*(('🔥 Calcolatore'!I8/1911)*1.015175),1)</f>
        <v>0.4</v>
      </c>
      <c r="G11" s="91">
        <f>ROUND(0.2*(('🔥 Calcolatore'!I8/1911)*1.015175),1)</f>
        <v>0.1</v>
      </c>
      <c r="H11" s="1"/>
      <c r="I11" s="83" t="str">
        <f>"Whey protein "&amp;ROUND(15*(('🔥 Calcolatore'!I8/1911))*1.015175/5,0)*5&amp;"g"&amp;"  |  "&amp;"Prosciutto cotto magro "&amp;ROUND(45*(('🔥 Calcolatore'!I8/1911))*1.015175/5,0)*5&amp;"g"&amp;"  |  "&amp;"Bresaola "&amp;ROUND(35*(('🔥 Calcolatore'!I8/1911))*1.015175/5,0)*5&amp;"g"&amp;"  |  "&amp;"Fesa di tacchino "&amp;ROUND(50*(('🔥 Calcolatore'!I8/1911))*1.015175/5,0)*5&amp;"g"&amp;"  |  "&amp;"Fiocchi di latte magri "&amp;ROUND(70*(('🔥 Calcolatore'!I8/1911))*1.015175/5,0)*5&amp;"g"&amp;"  |  "&amp;"Skyr "&amp;ROUND(85*(('🔥 Calcolatore'!I8/1911))*1.015175/5,0)*5&amp;"g"&amp;"  |  "&amp;"Tonno al naturale "&amp;ROUND(50*(('🔥 Calcolatore'!I8/1911))*1.015175/5,0)*5&amp;"g"</f>
        <v>Whey protein 10g  |  Prosciutto cotto magro 30g  |  Bresaola 20g  |  Fesa di tacchino 30g  |  Fiocchi di latte magri 45g  |  Skyr 55g  |  Tonno al naturale 30g</v>
      </c>
      <c r="J11" s="1"/>
      <c r="K11" s="84" t="str">
        <f>"Tofu silken "&amp; ROUND(120*('🔥 Calcolatore'!I8/1911)*1.015175/5,0)*5 &amp;"g"&amp;"  |  ""Edamame bolliti "&amp; ROUND(100*('🔥 Calcolatore'!I8/1911)*1.015175/5,0)*5 &amp;"g"&amp;"  |  ""Tempeh "&amp; ROUND(80*('🔥 Calcolatore'!I8/1911)*1.015175/5,0)*5 &amp;"g"&amp;"  |  ""Lupini sgusciati "&amp; ROUND(100*('🔥 Calcolatore'!I8/1911)*1.015175/5,0)*5 &amp;"g"&amp;"  |  ""Proteine vegane "&amp; ROUND(20*('🔥 Calcolatore'!I8/1911)*1.015175/5,0)*5 &amp;"g in acqua"</f>
        <v>Tofu silken 75g  |  "Edamame bolliti 65g  |  "Tempeh 50g  |  "Lupini sgusciati 65g  |  "Proteine vegane 15g in acqua</v>
      </c>
      <c r="L11" s="1"/>
      <c r="M11" s="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30.0" customHeight="1">
      <c r="A12" s="1"/>
      <c r="B12" s="120" t="s">
        <v>130</v>
      </c>
      <c r="C12" s="121">
        <f>ROUND(80*(('🔥 Calcolatore'!I8/1911)*1.015175)/5,0)*5</f>
        <v>50</v>
      </c>
      <c r="D12" s="122">
        <f>ROUND(207*(('🔥 Calcolatore'!I8/1911)*1.015175),0)</f>
        <v>133</v>
      </c>
      <c r="E12" s="123">
        <f>ROUND(8*(('🔥 Calcolatore'!I8/1911)*1.015175),1)</f>
        <v>5.1</v>
      </c>
      <c r="F12" s="123">
        <f>ROUND(38*(('🔥 Calcolatore'!I8/1911)*1.015175),1)</f>
        <v>24.4</v>
      </c>
      <c r="G12" s="123">
        <f>ROUND(2*(('🔥 Calcolatore'!I8/1911)*1.015175),1)</f>
        <v>1.3</v>
      </c>
      <c r="H12" s="1"/>
      <c r="I12" s="83" t="str">
        <f>"Avena porridge "&amp;ROUND(55*(('🔥 Calcolatore'!I8/1911))*1.015175/5,0)*5&amp;"g"&amp;"  |  "&amp;"Fette biscottate integrali 5 pz "&amp;ROUND(55*(('🔥 Calcolatore'!I8/1911))*1.015175/5,0)*5&amp;"g"&amp;"  |  "&amp;"Pane di segale "&amp;ROUND(90*(('🔥 Calcolatore'!I8/1911))*1.015175/5,0)*5&amp;"g"&amp;"  |  "&amp;"Crackers integrali "&amp;ROUND(50*(('🔥 Calcolatore'!I8/1911))*1.015175/5,0)*5&amp;"g"&amp;"  |  "&amp;"Gallette di riso "&amp;ROUND(55*(('🔥 Calcolatore'!I8/1911))*1.015175/5,0)*5&amp;"g"</f>
        <v>Avena porridge 35g  |  Fette biscottate integrali 5 pz 35g  |  Pane di segale 60g  |  Crackers integrali 30g  |  Gallette di riso 35g</v>
      </c>
      <c r="J12" s="1"/>
      <c r="K12" s="84" t="str">
        <f>"Avena "&amp; ROUND(70*('🔥 Calcolatore'!I8/1911)*1.015175/5,0)*5 &amp;"g con latte vegetale"&amp;"  |  ""Gallette di riso 5 pz"&amp;"  |  ""Pane di farro "&amp; ROUND(80*('🔥 Calcolatore'!I8/1911)*1.015175/5,0)*5 &amp;"g"</f>
        <v>Avena 45g con latte vegetale  |  "Gallette di riso 5 pz  |  "Pane di farro 50g</v>
      </c>
      <c r="L12" s="1"/>
      <c r="M12" s="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30.0" customHeight="1">
      <c r="A13" s="1"/>
      <c r="B13" s="88" t="s">
        <v>131</v>
      </c>
      <c r="C13" s="89">
        <f>ROUND(200*(('🔥 Calcolatore'!I8/1911)*1.015175)/5,0)*5</f>
        <v>130</v>
      </c>
      <c r="D13" s="90">
        <f>ROUND(117*(('🔥 Calcolatore'!I8/1911)*1.015175),0)</f>
        <v>75</v>
      </c>
      <c r="E13" s="91">
        <f>ROUND(20*(('🔥 Calcolatore'!I8/1911)*1.015175),1)</f>
        <v>12.8</v>
      </c>
      <c r="F13" s="91">
        <f>ROUND(6.6*(('🔥 Calcolatore'!I8/1911)*1.015175),1)</f>
        <v>4.2</v>
      </c>
      <c r="G13" s="91">
        <f>ROUND(0.6*(('🔥 Calcolatore'!I8/1911)*1.015175),1)</f>
        <v>0.4</v>
      </c>
      <c r="H13" s="1"/>
      <c r="I13" s="83" t="str">
        <f>"Petto di pollo cotto "&amp;ROUND(63.53*(('🔥 Calcolatore'!I8/1911)*1.015175)/5,0)*5&amp;"g"&amp;"  |  "&amp;"Fesa di tacchino "&amp;ROUND(83.23*(('🔥 Calcolatore'!I8/1911)*1.015175)/5,0)*5&amp;"g"&amp;"  |  "&amp;"Bresaola "&amp;ROUND(58.6*(('🔥 Calcolatore'!I8/1911)*1.015175)/5,0)*5&amp;"g"&amp;"  |  "&amp;"Tonno al naturale "&amp;ROUND(78.3*(('🔥 Calcolatore'!I8/1911)*1.015175)/5,0)*5&amp;"g"&amp;"  |  "&amp;"Merluzzo lessato "&amp;ROUND(117.71*(('🔥 Calcolatore'!I8/1911)*1.015175)/5,0)*5&amp;"g"&amp;"  |  "&amp;"Prosciutto cotto magro "&amp;ROUND(107.86*(('🔥 Calcolatore'!I8/1911)*1.015175)/5,0)*5&amp;"g"&amp;"  |  "&amp;"Albumi cotti (≈6 albumi) "&amp;ROUND(176.81*(('🔥 Calcolatore'!I8/1911)*1.015175)/5,0)*5&amp;"g"</f>
        <v>Petto di pollo cotto 40g  |  Fesa di tacchino 55g  |  Bresaola 40g  |  Tonno al naturale 50g  |  Merluzzo lessato 75g  |  Prosciutto cotto magro 70g  |  Albumi cotti (≈6 albumi) 115g</v>
      </c>
      <c r="J13" s="1"/>
      <c r="K13" s="84" t="str">
        <f>"Yogurt di soia proteico "&amp; ROUND(200*('🔥 Calcolatore'!I8/1911)*1.015175/5,0)*5 &amp;"g"&amp;"  |  ""Yogurt di cocco "&amp; ROUND(200*('🔥 Calcolatore'!I8/1911)*1.015175/5,0)*5 &amp;"g"&amp;"  |  ""Kefir di soia "&amp; ROUND(250*('🔥 Calcolatore'!I8/1911)*1.015175/5,0)*5 &amp;"ml"</f>
        <v>Yogurt di soia proteico 130g  |  "Yogurt di cocco 130g  |  "Kefir di soia 160ml</v>
      </c>
      <c r="L13" s="1"/>
      <c r="M13" s="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30.0" customHeight="1">
      <c r="A14" s="1"/>
      <c r="B14" s="120" t="s">
        <v>173</v>
      </c>
      <c r="C14" s="121">
        <f>ROUND(150*(('🔥 Calcolatore'!I8/1911)*1.015175)/5,0)*5</f>
        <v>95</v>
      </c>
      <c r="D14" s="122">
        <f>ROUND(50*(('🔥 Calcolatore'!I8/1911)*1.015175),0)</f>
        <v>32</v>
      </c>
      <c r="E14" s="123">
        <f>ROUND(1*(('🔥 Calcolatore'!I8/1911)*1.015175),1)</f>
        <v>0.6</v>
      </c>
      <c r="F14" s="123">
        <f>ROUND(11.5*(('🔥 Calcolatore'!I8/1911)*1.015175),1)</f>
        <v>7.4</v>
      </c>
      <c r="G14" s="123">
        <f>ROUND(0.4*(('🔥 Calcolatore'!I8/1911)*1.015175),1)</f>
        <v>0.3</v>
      </c>
      <c r="H14" s="1"/>
      <c r="I14" s="83" t="str">
        <f>"Banana "&amp;ROUND(55*(('🔥 Calcolatore'!I8/1911))*1.015175/5,0)*5&amp;"g"&amp;"  |  "&amp;"Mela "&amp;ROUND(95*(('🔥 Calcolatore'!I8/1911))*1.015175/5,0)*5&amp;"g"&amp;"  |  "&amp;"Pera "&amp;ROUND(95*(('🔥 Calcolatore'!I8/1911))*1.015175/5,0)*5&amp;"g"&amp;"  |  "&amp;"Arancia "&amp;ROUND(115*(('🔥 Calcolatore'!I8/1911))*1.015175/5,0)*5&amp;"g"&amp;"  |  "&amp;"Kiwi 2 pz "&amp;ROUND(100*(('🔥 Calcolatore'!I8/1911))*1.015175/5,0)*5&amp;"g"&amp;"  |  "&amp;"Frutti di bosco "&amp;ROUND(115*(('🔥 Calcolatore'!I8/1911))*1.015175/5,0)*5&amp;"g"</f>
        <v>Banana 35g  |  Mela 60g  |  Pera 60g  |  Arancia 75g  |  Kiwi 2 pz 65g  |  Frutti di bosco 75g</v>
      </c>
      <c r="J14" s="1"/>
      <c r="K14" s="84" t="str">
        <f>"Banana "&amp; ROUND(120*('🔥 Calcolatore'!I8/1911)*1.015175/5,0)*5 &amp;"g"&amp;"  |  ""Mela "&amp; ROUND(170*('🔥 Calcolatore'!I8/1911)*1.015175/5,0)*5 &amp;"g"&amp;"  |  ""Frutti di bosco "&amp; ROUND(150*('🔥 Calcolatore'!I8/1911)*1.015175/5,0)*5 &amp;"g"</f>
        <v>Banana 75g  |  "Mela 110g  |  "Frutti di bosco 95g</v>
      </c>
      <c r="L14" s="1"/>
      <c r="M14" s="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30.0" customHeight="1">
      <c r="A15" s="1"/>
      <c r="B15" s="88" t="s">
        <v>133</v>
      </c>
      <c r="C15" s="77"/>
      <c r="D15" s="90">
        <v>0.0</v>
      </c>
      <c r="E15" s="91">
        <v>0.0</v>
      </c>
      <c r="F15" s="91">
        <v>0.0</v>
      </c>
      <c r="G15" s="91">
        <v>0.0</v>
      </c>
      <c r="H15" s="1"/>
      <c r="I15" s="83" t="s">
        <v>134</v>
      </c>
      <c r="J15" s="1"/>
      <c r="K15" s="84" t="s">
        <v>174</v>
      </c>
      <c r="L15" s="1"/>
      <c r="M15" s="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37.5" customHeight="1">
      <c r="A16" s="31"/>
      <c r="B16" s="124" t="s">
        <v>136</v>
      </c>
      <c r="C16" s="125"/>
      <c r="D16" s="90">
        <f>ROUND(120*(('🔥 Calcolatore'!I8/1911)),0)</f>
        <v>76</v>
      </c>
      <c r="E16" s="91">
        <f>ROUND(24*(('🔥 Calcolatore'!I8/1911)),1)</f>
        <v>15.2</v>
      </c>
      <c r="F16" s="91">
        <f>ROUND(2*(('🔥 Calcolatore'!I8/1911)),1)</f>
        <v>1.3</v>
      </c>
      <c r="G16" s="91">
        <f>ROUND(2*(('🔥 Calcolatore'!I8/1911)),1)</f>
        <v>1.3</v>
      </c>
      <c r="H16" s="1"/>
      <c r="I16" s="92" t="str">
        <f>"Whey isolate "&amp; ROUND(30*('🔥 Calcolatore'!I8/1911)*1.015175/5,0)*5 &amp;"g (più pura, meno lattosio)"&amp;"  |  ""Whey concentrate "&amp; ROUND(32*('🔥 Calcolatore'!I8/1911)*1.015175/5,0)*5 &amp;"g"&amp;"  |  ""Caseina lento rilascio "&amp; ROUND(30*('🔥 Calcolatore'!I8/1911)*1.015175/5,0)*5 &amp;"g"&amp;"  |  ""Proteine dell'uovo "&amp; ROUND(28*('🔥 Calcolatore'!I8/1911)*1.015175/5,0)*5 &amp;"g"</f>
        <v>Whey isolate 20g (più pura, meno lattosio)  |  "Whey concentrate 20g  |  "Caseina lento rilascio 20g  |  "Proteine dell'uovo 20g</v>
      </c>
      <c r="J16" s="1"/>
      <c r="K16" s="93" t="str">
        <f>"Proteine di pisello "&amp; ROUND(30*('🔥 Calcolatore'!I8/1911)*1.015175/5,0)*5 &amp;"g"&amp;"  |  ""Proteine di riso integrale "&amp; ROUND(32*('🔥 Calcolatore'!I8/1911)*1.015175/5,0)*5 &amp;"g"&amp;"  |  ""Proteine di soia "&amp; ROUND(28*('🔥 Calcolatore'!I8/1911)*1.015175/5,0)*5 &amp;"g"&amp;"  |  ""Blend vegano 50/50 "&amp; ROUND(30*('🔥 Calcolatore'!I8/1911)*1.015175/5,0)*5 &amp;"g"</f>
        <v>Proteine di pisello 20g  |  "Proteine di riso integrale 20g  |  "Proteine di soia 20g  |  "Blend vegano 50/50 20g</v>
      </c>
      <c r="L16" s="1"/>
      <c r="M16" s="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0" customHeight="1">
      <c r="A17" s="1"/>
      <c r="B17" s="126" t="s">
        <v>137</v>
      </c>
      <c r="C17" s="127"/>
      <c r="D17" s="128">
        <f t="shared" ref="D17:G17" si="1">SUM(D10:D16)</f>
        <v>499</v>
      </c>
      <c r="E17" s="39">
        <f t="shared" si="1"/>
        <v>53.3</v>
      </c>
      <c r="F17" s="39">
        <f t="shared" si="1"/>
        <v>38.7</v>
      </c>
      <c r="G17" s="39">
        <f t="shared" si="1"/>
        <v>14</v>
      </c>
      <c r="H17" s="1"/>
      <c r="I17" s="97" t="s">
        <v>175</v>
      </c>
      <c r="J17" s="1"/>
      <c r="K17" s="129" t="s">
        <v>176</v>
      </c>
      <c r="L17" s="1"/>
      <c r="M17" s="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31.5" customHeight="1">
      <c r="A18" s="1"/>
      <c r="B18" s="58"/>
      <c r="C18" s="4"/>
      <c r="D18" s="4"/>
      <c r="E18" s="4"/>
      <c r="F18" s="4"/>
      <c r="G18" s="4"/>
      <c r="H18" s="4"/>
      <c r="I18" s="4"/>
      <c r="J18" s="4"/>
      <c r="K18" s="4"/>
      <c r="L18" s="1"/>
      <c r="M18" s="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21.75" customHeight="1">
      <c r="A19" s="1"/>
      <c r="B19" s="117" t="s">
        <v>141</v>
      </c>
      <c r="C19" s="4"/>
      <c r="D19" s="4"/>
      <c r="E19" s="4"/>
      <c r="F19" s="4"/>
      <c r="G19" s="4"/>
      <c r="H19" s="4"/>
      <c r="I19" s="4"/>
      <c r="J19" s="4"/>
      <c r="K19" s="4"/>
      <c r="L19" s="1"/>
      <c r="M19" s="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25.5" customHeight="1">
      <c r="A20" s="1"/>
      <c r="B20" s="100" t="s">
        <v>177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"/>
      <c r="M20" s="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37.5" customHeight="1">
      <c r="A21" s="1"/>
      <c r="B21" s="118" t="s">
        <v>121</v>
      </c>
      <c r="C21" s="118" t="s">
        <v>122</v>
      </c>
      <c r="D21" s="118" t="s">
        <v>123</v>
      </c>
      <c r="E21" s="118" t="s">
        <v>124</v>
      </c>
      <c r="F21" s="118" t="s">
        <v>125</v>
      </c>
      <c r="G21" s="118" t="s">
        <v>126</v>
      </c>
      <c r="H21" s="1"/>
      <c r="I21" s="118" t="s">
        <v>127</v>
      </c>
      <c r="J21" s="1"/>
      <c r="K21" s="119" t="s">
        <v>128</v>
      </c>
      <c r="L21" s="1"/>
      <c r="M21" s="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37.5" customHeight="1">
      <c r="A22" s="1"/>
      <c r="B22" s="120" t="s">
        <v>143</v>
      </c>
      <c r="C22" s="121">
        <f>ROUND(220*(('🔥 Calcolatore'!I8/1911)*0.855543)/5,0)*5</f>
        <v>120</v>
      </c>
      <c r="D22" s="122">
        <f>ROUND(253*(('🔥 Calcolatore'!I8/1911)*0.855543),0)</f>
        <v>137</v>
      </c>
      <c r="E22" s="123">
        <f>ROUND(52.5*(('🔥 Calcolatore'!I8/1911)*0.855543),1)</f>
        <v>28.4</v>
      </c>
      <c r="F22" s="123">
        <v>0.0</v>
      </c>
      <c r="G22" s="123">
        <f>ROUND(4.3*(('🔥 Calcolatore'!I8/1911)*0.855543),1)</f>
        <v>2.3</v>
      </c>
      <c r="H22" s="1"/>
      <c r="I22" s="83" t="str">
        <f>"Lonza di maiale magra "&amp;ROUND(170*(('🔥 Calcolatore'!I8/1911))*0.855543/5,0)*5&amp;"g"&amp;"  |  "&amp;"Fesa di vitello "&amp;ROUND(240*(('🔥 Calcolatore'!I8/1911))*0.855543/5,0)*5&amp;"g"&amp;"  |  "&amp;"Bistecca magra "&amp;ROUND(165*(('🔥 Calcolatore'!I8/1911))*0.855543/5,0)*5&amp;"g"&amp;"  |  "&amp;"Tonno al naturale "&amp;ROUND(245*(('🔥 Calcolatore'!I8/1911))*0.855543/5,0)*5&amp;"g"&amp;"  |  "&amp;"Gamberetti "&amp;ROUND(355*(('🔥 Calcolatore'!I8/1911))*0.855543/5,0)*5&amp;"g"&amp;"  |  "&amp;"Merluzzo "&amp;ROUND(350*(('🔥 Calcolatore'!I8/1911))*0.855543/5,0)*5&amp;"g"</f>
        <v>Lonza di maiale magra 90g  |  Fesa di vitello 130g  |  Bistecca magra 90g  |  Tonno al naturale 135g  |  Gamberetti 190g  |  Merluzzo 190g</v>
      </c>
      <c r="J22" s="1"/>
      <c r="K22" s="84" t="str">
        <f>"Tofu compatto "&amp; ROUND(250*('🔥 Calcolatore'!I8/1911)*1.015175/5,0)*5 &amp;"g"&amp;"  |  ""Tempeh "&amp; ROUND(190*('🔥 Calcolatore'!I8/1911)*1.015175/5,0)*5 &amp;"g"&amp;"  |  ""Seitan "&amp; ROUND(175*('🔥 Calcolatore'!I8/1911)*1.015175/5,0)*5 &amp;"g"&amp;"  |  ""Legumi misti "&amp; ROUND(250*('🔥 Calcolatore'!I8/1911)*1.015175/5,0)*5 &amp;"g"</f>
        <v>Tofu compatto 160g  |  "Tempeh 120g  |  "Seitan 110g  |  "Legumi misti 160g</v>
      </c>
      <c r="L22" s="1"/>
      <c r="M22" s="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37.5" customHeight="1">
      <c r="A23" s="1"/>
      <c r="B23" s="88" t="s">
        <v>178</v>
      </c>
      <c r="C23" s="89">
        <f>ROUND(100*(('🔥 Calcolatore'!I8/1911)*0.855543)/5,0)*5</f>
        <v>55</v>
      </c>
      <c r="D23" s="90">
        <f>ROUND(360*(('🔥 Calcolatore'!I8/1911)*0.855543),0)</f>
        <v>195</v>
      </c>
      <c r="E23" s="91">
        <f>ROUND(8*(('🔥 Calcolatore'!I8/1911)*0.855543),1)</f>
        <v>4.3</v>
      </c>
      <c r="F23" s="91">
        <f>ROUND(77.5*(('🔥 Calcolatore'!I8/1911)*0.855543),1)</f>
        <v>41.9</v>
      </c>
      <c r="G23" s="91">
        <f>ROUND(1.2*(('🔥 Calcolatore'!I8/1911)*0.855543),1)</f>
        <v>0.6</v>
      </c>
      <c r="H23" s="1"/>
      <c r="I23" s="83" t="str">
        <f>"Pasta di grano duro "&amp;ROUND(100*(('🔥 Calcolatore'!I8/1911))*0.855543/5,0)*5&amp;"g"&amp;"  |  "&amp;"Riso bianco "&amp;ROUND(105*(('🔥 Calcolatore'!I8/1911))*0.855543/5,0)*5&amp;"g"&amp;"  |  "&amp;"Gnocchi di patate "&amp;ROUND(270*(('🔥 Calcolatore'!I8/1911))*0.855543/5,0)*5&amp;"g"&amp;"  |  "&amp;"Farro perlato "&amp;ROUND(105*(('🔥 Calcolatore'!I8/1911))*0.855543/5,0)*5&amp;"g"&amp;"  |  "&amp;"Orzo perlato "&amp;ROUND(100*(('🔥 Calcolatore'!I8/1911))*0.855543/5,0)*5&amp;"g"</f>
        <v>Pasta di grano duro 55g  |  Riso bianco 55g  |  Gnocchi di patate 145g  |  Farro perlato 55g  |  Orzo perlato 55g</v>
      </c>
      <c r="J23" s="1"/>
      <c r="K23" s="84" t="str">
        <f>"Quinoa cotta "&amp; ROUND(100*('🔥 Calcolatore'!I8/1911)*1.015175/5,0)*5 &amp;"g"&amp;"  |  ""Pasta di ceci "&amp; ROUND(90*('🔥 Calcolatore'!I8/1911)*1.015175/5,0)*5 &amp;"g"&amp;"  |  ""Riso integrale "&amp; ROUND(100*('🔥 Calcolatore'!I8/1911)*1.015175/5,0)*5 &amp;"g"&amp;"  |  ""Bulgur "&amp; ROUND(95*('🔥 Calcolatore'!I8/1911)*1.015175/5,0)*5 &amp;"g"</f>
        <v>Quinoa cotta 65g  |  "Pasta di ceci 60g  |  "Riso integrale 65g  |  "Bulgur 60g</v>
      </c>
      <c r="L23" s="1"/>
      <c r="M23" s="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37.5" customHeight="1">
      <c r="A24" s="1"/>
      <c r="B24" s="120" t="s">
        <v>179</v>
      </c>
      <c r="C24" s="121">
        <f>ROUND(100*(('🔥 Calcolatore'!I8/1911)*0.855543)/5,0)*5</f>
        <v>55</v>
      </c>
      <c r="D24" s="122">
        <f>ROUND(110*(('🔥 Calcolatore'!I8/1911)*0.855543),0)</f>
        <v>60</v>
      </c>
      <c r="E24" s="123">
        <f>ROUND(8*(('🔥 Calcolatore'!I8/1911)*0.855543),1)</f>
        <v>4.3</v>
      </c>
      <c r="F24" s="123">
        <f>ROUND(18*(('🔥 Calcolatore'!I8/1911)*0.855543),1)</f>
        <v>9.7</v>
      </c>
      <c r="G24" s="123">
        <f>ROUND(0.5*(('🔥 Calcolatore'!I8/1911)*0.855543),1)</f>
        <v>0.3</v>
      </c>
      <c r="H24" s="1"/>
      <c r="I24" s="83" t="str">
        <f>"Fagioli borlotti cotti "&amp;ROUND(95*(('🔥 Calcolatore'!I8/1911))*0.855543/5,0)*5&amp;"g"&amp;"  |  "&amp;"Ceci cotti "&amp;ROUND(65*(('🔥 Calcolatore'!I8/1911))*0.855543/5,0)*5&amp;"g"&amp;"  |  "&amp;"Lenticchie cotte "&amp;ROUND(95*(('🔥 Calcolatore'!I8/1911))*0.855543/5,0)*5&amp;"g"&amp;"  |  "&amp;"Piselli cotti "&amp;ROUND(110*(('🔥 Calcolatore'!I8/1911))*0.855543/5,0)*5&amp;"g"</f>
        <v>Fagioli borlotti cotti 50g  |  Ceci cotti 35g  |  Lenticchie cotte 50g  |  Piselli cotti 60g</v>
      </c>
      <c r="J24" s="1"/>
      <c r="K24" s="84" t="str">
        <f>"Fagioli neri "&amp; ROUND(150*('🔥 Calcolatore'!I8/1911)*1.015175/5,0)*5 &amp;"g"&amp;"  |  ""Lenticchie rosse "&amp; ROUND(100*('🔥 Calcolatore'!I8/1911)*1.015175/5,0)*5 &amp;"g"&amp;"  |  ""Ceci "&amp; ROUND(150*('🔥 Calcolatore'!I8/1911)*1.015175/5,0)*5 &amp;"g"</f>
        <v>Fagioli neri 95g  |  "Lenticchie rosse 65g  |  "Ceci 95g</v>
      </c>
      <c r="L24" s="1"/>
      <c r="M24" s="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30.0" customHeight="1">
      <c r="A25" s="1"/>
      <c r="B25" s="88" t="s">
        <v>145</v>
      </c>
      <c r="C25" s="89">
        <f>ROUND(250*(('🔥 Calcolatore'!I8/1911)*0.855543)/5,0)*5</f>
        <v>135</v>
      </c>
      <c r="D25" s="90">
        <f>ROUND(62*(('🔥 Calcolatore'!I8/1911)*0.855543),0)</f>
        <v>34</v>
      </c>
      <c r="E25" s="91">
        <f>ROUND(3.1*(('🔥 Calcolatore'!I8/1911)*0.855543),1)</f>
        <v>1.7</v>
      </c>
      <c r="F25" s="91">
        <f>ROUND(10*(('🔥 Calcolatore'!I8/1911)*0.855543),1)</f>
        <v>5.4</v>
      </c>
      <c r="G25" s="91">
        <f>ROUND(0.6*(('🔥 Calcolatore'!I8/1911)*0.855543),1)</f>
        <v>0.3</v>
      </c>
      <c r="H25" s="1"/>
      <c r="I25" s="83" t="str">
        <f>"Zucchine "&amp;ROUND(250*(('🔥 Calcolatore'!I8/1911))*0.855543/5,0)*5&amp;"g"&amp;"  |  "&amp;"Broccoli "&amp;ROUND(250*(('🔥 Calcolatore'!I8/1911))*0.855543/5,0)*5&amp;"g"&amp;"  |  "&amp;"Peperoni "&amp;ROUND(250*(('🔥 Calcolatore'!I8/1911))*0.855543/5,0)*5&amp;"g"&amp;"  |  "&amp;"Fagiolini "&amp;ROUND(250*(('🔥 Calcolatore'!I8/1911))*0.855543/5,0)*5&amp;"g"&amp;"  |  "&amp;"Cavolfiore "&amp;ROUND(250*(('🔥 Calcolatore'!I8/1911))*0.855543/5,0)*5&amp;"g"</f>
        <v>Zucchine 135g  |  Broccoli 135g  |  Peperoni 135g  |  Fagiolini 135g  |  Cavolfiore 135g</v>
      </c>
      <c r="J25" s="1"/>
      <c r="K25" s="84" t="str">
        <f>"Verdure miste "&amp; ROUND(250*('🔥 Calcolatore'!I8/1911)*1.015175/5,0)*5 &amp;"g"</f>
        <v>Verdure miste 160g</v>
      </c>
      <c r="L25" s="1"/>
      <c r="M25" s="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30.0" customHeight="1">
      <c r="A26" s="1"/>
      <c r="B26" s="120" t="s">
        <v>146</v>
      </c>
      <c r="C26" s="121">
        <f>ROUND(12*(('🔥 Calcolatore'!I8/1911)*0.855543)/5,0)*5</f>
        <v>5</v>
      </c>
      <c r="D26" s="122">
        <f>ROUND(108*(('🔥 Calcolatore'!I8/1911)*0.855543),0)</f>
        <v>58</v>
      </c>
      <c r="E26" s="123">
        <v>0.0</v>
      </c>
      <c r="F26" s="123">
        <v>0.0</v>
      </c>
      <c r="G26" s="123">
        <f>ROUND(12*(('🔥 Calcolatore'!I8/1911)*0.855543),1)</f>
        <v>6.5</v>
      </c>
      <c r="H26" s="1"/>
      <c r="I26" s="83" t="str">
        <f>"Burro "&amp;ROUND(15*(('🔥 Calcolatore'!I8/1911))*0.855543/5,0)*5&amp;"g"&amp;"  |  "&amp;"Parmigiano "&amp;ROUND(28*(('🔥 Calcolatore'!I8/1911))*0.855543/5,0)*5&amp;"g"&amp;"  |  "&amp;"Olive "&amp;ROUND(95*(('🔥 Calcolatore'!I8/1911))*0.855543/5,0)*5&amp;"g"&amp;"  |  "&amp;"Avocado "&amp;ROUND(65*(('🔥 Calcolatore'!I8/1911))*0.855543/5,0)*5&amp;"g"</f>
        <v>Burro 10g  |  Parmigiano 15g  |  Olive 50g  |  Avocado 35g</v>
      </c>
      <c r="J26" s="1"/>
      <c r="K26" s="84" t="str">
        <f>"Avocado "&amp; ROUND(40*('🔥 Calcolatore'!I8/1911)*1.015175/5,0)*5 &amp;"g"&amp;"  |  ""Tahini "&amp; ROUND(10*('🔥 Calcolatore'!I8/1911)*1.015175/5,0)*5 &amp;"g"&amp;"  |  ""Burro di mandorle "&amp; ROUND(10*('🔥 Calcolatore'!I8/1911)*1.015175/5,0)*5 &amp;"g"&amp;"  |  ""Olive "&amp; ROUND(30*('🔥 Calcolatore'!I8/1911)*1.015175/5,0)*5 &amp;"g"</f>
        <v>Avocado 25g  |  "Tahini 5g  |  "Burro di mandorle 5g  |  "Olive 20g</v>
      </c>
      <c r="L26" s="1"/>
      <c r="M26" s="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30.0" customHeight="1">
      <c r="A27" s="1"/>
      <c r="B27" s="124" t="s">
        <v>147</v>
      </c>
      <c r="C27" s="125"/>
      <c r="D27" s="90">
        <v>0.0</v>
      </c>
      <c r="E27" s="91">
        <v>0.0</v>
      </c>
      <c r="F27" s="91">
        <v>0.0</v>
      </c>
      <c r="G27" s="91">
        <v>0.0</v>
      </c>
      <c r="H27" s="1"/>
      <c r="I27" s="83" t="s">
        <v>180</v>
      </c>
      <c r="J27" s="1"/>
      <c r="K27" s="84" t="s">
        <v>181</v>
      </c>
      <c r="L27" s="1"/>
      <c r="M27" s="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0" customHeight="1">
      <c r="A28" s="1"/>
      <c r="B28" s="126" t="s">
        <v>150</v>
      </c>
      <c r="C28" s="131"/>
      <c r="D28" s="128">
        <f t="shared" ref="D28:G28" si="2">SUM(D21:D26)</f>
        <v>484</v>
      </c>
      <c r="E28" s="39">
        <f t="shared" si="2"/>
        <v>38.7</v>
      </c>
      <c r="F28" s="39">
        <f t="shared" si="2"/>
        <v>57</v>
      </c>
      <c r="G28" s="39">
        <f t="shared" si="2"/>
        <v>10</v>
      </c>
      <c r="H28" s="1"/>
      <c r="I28" s="97" t="s">
        <v>175</v>
      </c>
      <c r="J28" s="1"/>
      <c r="K28" s="129" t="s">
        <v>176</v>
      </c>
      <c r="L28" s="1"/>
      <c r="M28" s="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31.5" customHeight="1">
      <c r="A29" s="1"/>
      <c r="B29" s="58"/>
      <c r="C29" s="4"/>
      <c r="D29" s="4"/>
      <c r="E29" s="4"/>
      <c r="F29" s="4"/>
      <c r="G29" s="4"/>
      <c r="H29" s="4"/>
      <c r="I29" s="4"/>
      <c r="J29" s="4"/>
      <c r="K29" s="4"/>
      <c r="L29" s="1"/>
      <c r="M29" s="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1.75" customHeight="1">
      <c r="A30" s="1"/>
      <c r="B30" s="117" t="s">
        <v>157</v>
      </c>
      <c r="C30" s="4"/>
      <c r="D30" s="4"/>
      <c r="E30" s="4"/>
      <c r="F30" s="4"/>
      <c r="G30" s="4"/>
      <c r="H30" s="4"/>
      <c r="I30" s="4"/>
      <c r="J30" s="4"/>
      <c r="K30" s="4"/>
      <c r="L30" s="1"/>
      <c r="M30" s="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25.5" customHeight="1">
      <c r="A31" s="1"/>
      <c r="B31" s="100" t="s">
        <v>182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51.75" customHeight="1">
      <c r="A32" s="1"/>
      <c r="B32" s="118" t="s">
        <v>121</v>
      </c>
      <c r="C32" s="118" t="s">
        <v>122</v>
      </c>
      <c r="D32" s="118" t="s">
        <v>123</v>
      </c>
      <c r="E32" s="118" t="s">
        <v>124</v>
      </c>
      <c r="F32" s="118" t="s">
        <v>125</v>
      </c>
      <c r="G32" s="118" t="s">
        <v>126</v>
      </c>
      <c r="H32" s="1"/>
      <c r="I32" s="118" t="s">
        <v>127</v>
      </c>
      <c r="J32" s="1"/>
      <c r="K32" s="119" t="s">
        <v>128</v>
      </c>
      <c r="L32" s="1"/>
      <c r="M32" s="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37.5" customHeight="1">
      <c r="A33" s="1"/>
      <c r="B33" s="120" t="s">
        <v>183</v>
      </c>
      <c r="C33" s="121">
        <f>ROUND(126.56*(('🔥 Calcolatore'!I8/1911)*0.92278)/5,0)*5</f>
        <v>75</v>
      </c>
      <c r="D33" s="122">
        <f>ROUND(162*(('🔥 Calcolatore'!I8/1911)*0.92278),0)</f>
        <v>95</v>
      </c>
      <c r="E33" s="123">
        <f>ROUND(25.3*(('🔥 Calcolatore'!I8/1911)*0.92278),1)</f>
        <v>14.8</v>
      </c>
      <c r="F33" s="123">
        <v>0.0</v>
      </c>
      <c r="G33" s="123">
        <f>ROUND(6.3*(('🔥 Calcolatore'!I8/1911)*0.92278),1)</f>
        <v>3.7</v>
      </c>
      <c r="H33" s="1"/>
      <c r="I33" s="83" t="str">
        <f>"Petto di pollo "&amp;ROUND(140*(('🔥 Calcolatore'!I8/1911))*0.92278/5,0)*5&amp;"g"&amp;"  |  "&amp;"Lonza di maiale magra "&amp;ROUND(110*(('🔥 Calcolatore'!I8/1911))*0.92278/5,0)*5&amp;"g"&amp;"  |  "&amp;"Fesa di vitello "&amp;ROUND(155*(('🔥 Calcolatore'!I8/1911))*0.92278/5,0)*5&amp;"g"&amp;"  |  "&amp;"Tonno al naturale "&amp;ROUND(160*(('🔥 Calcolatore'!I8/1911))*0.92278/5,0)*5&amp;"g"&amp;"  |  "&amp;"Gamberetti "&amp;ROUND(225*(('🔥 Calcolatore'!I8/1911))*0.92278/5,0)*5&amp;"g"&amp;"  |  "&amp;"Merluzzo "&amp;ROUND(225*(('🔥 Calcolatore'!I8/1911))*0.92278/5,0)*5&amp;"g"</f>
        <v>Petto di pollo 80g  |  Lonza di maiale magra 65g  |  Fesa di vitello 90g  |  Tonno al naturale 95g  |  Gamberetti 130g  |  Merluzzo 130g</v>
      </c>
      <c r="J33" s="1"/>
      <c r="K33" s="84" t="str">
        <f>"Tofu compatto "&amp; ROUND(220*('🔥 Calcolatore'!I8/1911)*1.015175/5,0)*5 &amp;"g"&amp;"  |  ""Tempeh "&amp; ROUND(180*('🔥 Calcolatore'!I8/1911)*1.015175/5,0)*5 &amp;"g"&amp;"  |  ""Burger di lenticchie "&amp; ROUND(200*('🔥 Calcolatore'!I8/1911)*1.015175/5,0)*5 &amp;"g"&amp;"  |  ""Seitan "&amp; ROUND(180*('🔥 Calcolatore'!I8/1911)*1.015175/5,0)*5 &amp;"g"</f>
        <v>Tofu compatto 140g  |  "Tempeh 115g  |  "Burger di lenticchie 130g  |  "Seitan 115g</v>
      </c>
      <c r="L33" s="1"/>
      <c r="M33" s="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37.5" customHeight="1">
      <c r="A34" s="1"/>
      <c r="B34" s="88" t="s">
        <v>184</v>
      </c>
      <c r="C34" s="89">
        <f>ROUND(110.16*(('🔥 Calcolatore'!I8/1911)*0.92278)/5,0)*5</f>
        <v>65</v>
      </c>
      <c r="D34" s="90">
        <f>ROUND(94*(('🔥 Calcolatore'!I8/1911)*0.92278),0)</f>
        <v>55</v>
      </c>
      <c r="E34" s="91">
        <f>ROUND(2.3*(('🔥 Calcolatore'!I8/1911)*0.92278),1)</f>
        <v>1.3</v>
      </c>
      <c r="F34" s="91">
        <f>ROUND(22*(('🔥 Calcolatore'!I8/1911)*0.92278),1)</f>
        <v>12.8</v>
      </c>
      <c r="G34" s="91">
        <f>ROUND(0.1*(('🔥 Calcolatore'!I8/1911)*0.92278),1)</f>
        <v>0.1</v>
      </c>
      <c r="H34" s="1"/>
      <c r="I34" s="83" t="str">
        <f>"Patate bollite "&amp;ROUND(120*(('🔥 Calcolatore'!I8/1911))*0.92278/5,0)*5&amp;"g"&amp;"  |  "&amp;"Riso cotto "&amp;ROUND(70*(('🔥 Calcolatore'!I8/1911))*0.92278/5,0)*5&amp;"g"&amp;"  |  "&amp;"Pasta cotta "&amp;ROUND(60*(('🔥 Calcolatore'!I8/1911))*0.92278/5,0)*5&amp;"g"&amp;"  |  "&amp;"Lenticchie cotte "&amp;ROUND(80*(('🔥 Calcolatore'!I8/1911))*0.92278/5,0)*5&amp;"g"&amp;"  |  "&amp;"Ceci cotti "&amp;ROUND(55*(('🔥 Calcolatore'!I8/1911))*0.92278/5,0)*5&amp;"g"&amp;"  |  "&amp;"Fagioli borlotti "&amp;ROUND(80*(('🔥 Calcolatore'!I8/1911))*0.92278/5,0)*5&amp;"g"</f>
        <v>Patate bollite 70g  |  Riso cotto 40g  |  Pasta cotta 35g  |  Lenticchie cotte 45g  |  Ceci cotti 30g  |  Fagioli borlotti 45g</v>
      </c>
      <c r="J34" s="1"/>
      <c r="K34" s="84" t="str">
        <f>"Lenticchie rosse "&amp; ROUND(180*('🔥 Calcolatore'!I8/1911)*1.015175/5,0)*5 &amp;"g"&amp;"  |  ""Ceci "&amp; ROUND(160*('🔥 Calcolatore'!I8/1911)*1.015175/5,0)*5 &amp;"g"&amp;"  |  ""Fagioli neri "&amp; ROUND(180*('🔥 Calcolatore'!I8/1911)*1.015175/5,0)*5 &amp;"g"</f>
        <v>Lenticchie rosse 115g  |  "Ceci 105g  |  "Fagioli neri 115g</v>
      </c>
      <c r="L34" s="1"/>
      <c r="M34" s="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30.0" customHeight="1">
      <c r="A35" s="1"/>
      <c r="B35" s="120" t="s">
        <v>161</v>
      </c>
      <c r="C35" s="121">
        <f>ROUND(250*(('🔥 Calcolatore'!I8/1911)*0.92278)/5,0)*5</f>
        <v>145</v>
      </c>
      <c r="D35" s="122">
        <f>ROUND(44*(('🔥 Calcolatore'!I8/1911)*0.92278),0)</f>
        <v>26</v>
      </c>
      <c r="E35" s="123">
        <f>ROUND(2.5*(('🔥 Calcolatore'!I8/1911)*0.92278),1)</f>
        <v>1.5</v>
      </c>
      <c r="F35" s="123">
        <f>ROUND(6.9*(('🔥 Calcolatore'!I8/1911)*0.92278),1)</f>
        <v>4</v>
      </c>
      <c r="G35" s="123">
        <f>ROUND(0.6*(('🔥 Calcolatore'!I8/1911)*0.92278),1)</f>
        <v>0.4</v>
      </c>
      <c r="H35" s="1"/>
      <c r="I35" s="83" t="str">
        <f>"Rucola + pomodori "&amp;ROUND(250*(('🔥 Calcolatore'!I8/1911))*0.92278/5,0)*5&amp;"g"&amp;"  |  "&amp;"Spinacino + pomodorini "&amp;ROUND(250*(('🔥 Calcolatore'!I8/1911))*0.92278/5,0)*5&amp;"g"&amp;"  |  "&amp;"Finocchio + cetrioli "&amp;ROUND(250*(('🔥 Calcolatore'!I8/1911))*0.92278/5,0)*5&amp;"g"&amp;"  |  "&amp;"Insalata mista "&amp;ROUND(250*(('🔥 Calcolatore'!I8/1911))*0.92278/5,0)*5&amp;"g"</f>
        <v>Rucola + pomodori 145g  |  Spinacino + pomodorini 145g  |  Finocchio + cetrioli 145g  |  Insalata mista 145g</v>
      </c>
      <c r="J35" s="1"/>
      <c r="K35" s="84" t="str">
        <f>"Insalata mista "&amp; ROUND(200*('🔥 Calcolatore'!I8/1911)*1.015175/5,0)*5 &amp;"g"</f>
        <v>Insalata mista 130g</v>
      </c>
      <c r="L35" s="1"/>
      <c r="M35" s="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30.0" customHeight="1">
      <c r="A36" s="1"/>
      <c r="B36" s="124" t="s">
        <v>146</v>
      </c>
      <c r="C36" s="125"/>
      <c r="D36" s="90">
        <f>ROUND(90*(('🔥 Calcolatore'!I8/1911)*0.92278),0)</f>
        <v>53</v>
      </c>
      <c r="E36" s="91">
        <v>0.0</v>
      </c>
      <c r="F36" s="91">
        <v>0.0</v>
      </c>
      <c r="G36" s="91">
        <f>ROUND(10*(('🔥 Calcolatore'!I8/1911)*0.92278),1)</f>
        <v>5.8</v>
      </c>
      <c r="H36" s="1"/>
      <c r="I36" s="83" t="str">
        <f>"Parmigiano "&amp;ROUND(28*(('🔥 Calcolatore'!I8/1911))*0.92278/5,0)*5&amp;"g"&amp;"  |  "&amp;"Olive "&amp;ROUND(95*(('🔥 Calcolatore'!I8/1911))*0.92278/5,0)*5&amp;"g"&amp;"  |  "&amp;"Avocado "&amp;ROUND(65*(('🔥 Calcolatore'!I8/1911))*0.92278/5,0)*5&amp;"g"&amp;"  |  "&amp;"Burro "&amp;ROUND(15*(('🔥 Calcolatore'!I8/1911))*0.92278/5,0)*5&amp;"g"</f>
        <v>Parmigiano 15g  |  Olive 55g  |  Avocado 40g  |  Burro 10g</v>
      </c>
      <c r="J36" s="1"/>
      <c r="K36" s="84" t="str">
        <f>"Avocado "&amp; ROUND(30*('🔥 Calcolatore'!I8/1911)*1.015175/5,0)*5 &amp;"g"&amp;"  |  ""Olive "&amp; ROUND(22*('🔥 Calcolatore'!I8/1911)*1.015175/5,0)*5 &amp;"g"&amp;"  |  ""Tahini "&amp; ROUND(8*('🔥 Calcolatore'!I8/1911)*1.015175/5,0)*5 &amp;"g"</f>
        <v>Avocado 20g  |  "Olive 15g  |  "Tahini 5g</v>
      </c>
      <c r="L36" s="1"/>
      <c r="M36" s="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0" customHeight="1">
      <c r="A37" s="1"/>
      <c r="B37" s="126" t="s">
        <v>162</v>
      </c>
      <c r="C37" s="132">
        <f>SUM(C33:C35)</f>
        <v>285</v>
      </c>
      <c r="D37" s="128">
        <f t="shared" ref="D37:G37" si="3">SUM(D33:D36)</f>
        <v>229</v>
      </c>
      <c r="E37" s="39">
        <f t="shared" si="3"/>
        <v>17.6</v>
      </c>
      <c r="F37" s="39">
        <f t="shared" si="3"/>
        <v>16.8</v>
      </c>
      <c r="G37" s="39">
        <f t="shared" si="3"/>
        <v>10</v>
      </c>
      <c r="H37" s="1"/>
      <c r="I37" s="97" t="s">
        <v>185</v>
      </c>
      <c r="J37" s="1"/>
      <c r="K37" s="129" t="s">
        <v>176</v>
      </c>
      <c r="L37" s="1"/>
      <c r="M37" s="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9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42.0" customHeight="1">
      <c r="A39" s="1"/>
      <c r="B39" s="58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33.75" customHeight="1">
      <c r="A40" s="1"/>
      <c r="B40" s="133" t="s">
        <v>163</v>
      </c>
      <c r="C40" s="104"/>
      <c r="D40" s="134">
        <f t="shared" ref="D40:E40" si="4">D17+D28+D37</f>
        <v>1212</v>
      </c>
      <c r="E40" s="135">
        <f t="shared" si="4"/>
        <v>109.6</v>
      </c>
      <c r="F40" s="11"/>
      <c r="G40" s="104"/>
      <c r="H40" s="1"/>
      <c r="I40" s="1"/>
      <c r="J40" s="1"/>
      <c r="K40" s="1"/>
      <c r="L40" s="1"/>
      <c r="M40" s="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0" customHeight="1">
      <c r="A41" s="1"/>
      <c r="B41" s="107" t="s">
        <v>164</v>
      </c>
      <c r="C41" s="136"/>
      <c r="D41" s="137">
        <f>D40-'🔥 Calcolatore'!I8</f>
        <v>3.21875</v>
      </c>
      <c r="E41" s="138" t="str">
        <f>IFERROR(IF(ABS(D40-'🔥 Calcolatore'!I8)&lt;120,"✅ Sei nel target",IF(D40&gt;'🔥 Calcolatore'!I8,"⚠️ Sopra il target","⬇️ Sotto il target")),"")</f>
        <v>✅ Sei nel target</v>
      </c>
      <c r="F41" s="136"/>
      <c r="G41" s="136"/>
      <c r="H41" s="1"/>
      <c r="I41" s="1"/>
      <c r="J41" s="1"/>
      <c r="K41" s="1"/>
      <c r="L41" s="1"/>
      <c r="M41" s="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49.5" customHeight="1">
      <c r="A42" s="1"/>
      <c r="B42" s="58"/>
      <c r="C42" s="4"/>
      <c r="D42" s="4"/>
      <c r="E42" s="4"/>
      <c r="F42" s="4"/>
      <c r="G42" s="4"/>
      <c r="H42" s="4"/>
      <c r="I42" s="4"/>
      <c r="J42" s="4"/>
      <c r="K42" s="4"/>
      <c r="L42" s="1"/>
      <c r="M42" s="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90.75" customHeight="1">
      <c r="A43" s="1"/>
      <c r="B43" s="139" t="s">
        <v>186</v>
      </c>
      <c r="C43" s="140"/>
      <c r="D43" s="140"/>
      <c r="E43" s="140"/>
      <c r="F43" s="140"/>
      <c r="G43" s="140"/>
      <c r="H43" s="140"/>
      <c r="I43" s="140"/>
      <c r="J43" s="140"/>
      <c r="K43" s="140"/>
      <c r="L43" s="1"/>
      <c r="M43" s="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16:C16"/>
    <mergeCell ref="B27:C27"/>
    <mergeCell ref="B36:C36"/>
    <mergeCell ref="B39:C39"/>
    <mergeCell ref="B40:C40"/>
    <mergeCell ref="B29:K29"/>
    <mergeCell ref="B30:K30"/>
    <mergeCell ref="E40:G40"/>
    <mergeCell ref="B42:K42"/>
    <mergeCell ref="B2:K2"/>
    <mergeCell ref="B3:K3"/>
    <mergeCell ref="B4:C4"/>
    <mergeCell ref="B7:K7"/>
    <mergeCell ref="B8:K8"/>
    <mergeCell ref="B18:K18"/>
    <mergeCell ref="B19:K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B8A6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0.43"/>
    <col customWidth="1" min="2" max="2" width="32.0"/>
    <col customWidth="1" min="3" max="4" width="10.0"/>
    <col customWidth="1" min="5" max="5" width="16.0"/>
    <col customWidth="1" min="6" max="7" width="10.0"/>
    <col customWidth="1" min="8" max="8" width="2.0"/>
    <col customWidth="1" min="9" max="9" width="80.0"/>
    <col customWidth="1" min="10" max="10" width="2.0"/>
    <col customWidth="1" min="11" max="11" width="80.0"/>
    <col customWidth="1" min="12" max="13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54.75" customHeight="1">
      <c r="A2" s="1"/>
      <c r="B2" s="141" t="s">
        <v>187</v>
      </c>
      <c r="C2" s="4"/>
      <c r="D2" s="4"/>
      <c r="E2" s="4"/>
      <c r="F2" s="4"/>
      <c r="G2" s="4"/>
      <c r="H2" s="4"/>
      <c r="I2" s="4"/>
      <c r="J2" s="4"/>
      <c r="K2" s="4"/>
      <c r="L2" s="1"/>
      <c r="M2" s="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30.0" customHeight="1">
      <c r="A3" s="1"/>
      <c r="B3" s="64" t="str">
        <f>"Piano basato su: "&amp;TEXT('🔥 Calcolatore'!D6,"0.0")&amp;" kg  |  Target: "&amp;TEXT('🔥 Calcolatore'!I8,"#,##0")&amp;" kcal  |  Finestra alimentare 8h (es. 12:00–20:00)"</f>
        <v>Piano basato su: 68,0 kg  |  Target: 1.209 kcal  |  Finestra alimentare 8h (es. 12:00–20:00)</v>
      </c>
      <c r="C3" s="15"/>
      <c r="D3" s="15"/>
      <c r="E3" s="15"/>
      <c r="F3" s="15"/>
      <c r="G3" s="15"/>
      <c r="H3" s="15"/>
      <c r="I3" s="15"/>
      <c r="J3" s="15"/>
      <c r="K3" s="15"/>
      <c r="L3" s="1"/>
      <c r="M3" s="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6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33.75" customHeight="1">
      <c r="A5" s="1"/>
      <c r="B5" s="142" t="s">
        <v>188</v>
      </c>
      <c r="C5" s="143"/>
      <c r="D5" s="143"/>
      <c r="E5" s="143"/>
      <c r="F5" s="143"/>
      <c r="G5" s="143"/>
      <c r="H5" s="143"/>
      <c r="I5" s="143"/>
      <c r="J5" s="143"/>
      <c r="K5" s="143"/>
      <c r="L5" s="1"/>
      <c r="M5" s="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39.75" customHeight="1">
      <c r="A6" s="1"/>
      <c r="B6" s="114" t="s">
        <v>168</v>
      </c>
      <c r="C6" s="20"/>
      <c r="D6" s="68">
        <f>'🔥 Calcolatore'!I8</f>
        <v>1208.78125</v>
      </c>
      <c r="E6" s="69" t="s">
        <v>115</v>
      </c>
      <c r="F6" s="1"/>
      <c r="G6" s="1"/>
      <c r="H6" s="1"/>
      <c r="I6" s="1"/>
      <c r="J6" s="1"/>
      <c r="K6" s="1"/>
      <c r="L6" s="1"/>
      <c r="M6" s="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25.5" customHeight="1">
      <c r="A7" s="1"/>
      <c r="B7" s="23" t="s">
        <v>169</v>
      </c>
      <c r="C7" s="115">
        <f>'🔥 Calcolatore'!I11/4</f>
        <v>136</v>
      </c>
      <c r="D7" s="23" t="s">
        <v>170</v>
      </c>
      <c r="E7" s="72">
        <f>'🔥 Calcolatore'!I12/9</f>
        <v>33.57725694</v>
      </c>
      <c r="F7" s="23" t="s">
        <v>189</v>
      </c>
      <c r="G7" s="116">
        <f>'🔥 Calcolatore'!I13/4</f>
        <v>90.64648438</v>
      </c>
      <c r="H7" s="1"/>
      <c r="I7" s="1"/>
      <c r="J7" s="1"/>
      <c r="K7" s="1"/>
      <c r="L7" s="1"/>
      <c r="M7" s="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7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30.0" customHeight="1">
      <c r="A9" s="1"/>
      <c r="B9" s="144" t="s">
        <v>190</v>
      </c>
      <c r="C9" s="145"/>
      <c r="D9" s="145"/>
      <c r="E9" s="145"/>
      <c r="F9" s="145"/>
      <c r="G9" s="145"/>
      <c r="H9" s="145"/>
      <c r="I9" s="145"/>
      <c r="J9" s="145"/>
      <c r="K9" s="145"/>
      <c r="L9" s="1"/>
      <c r="M9" s="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7.5" customHeight="1">
      <c r="A10" s="1"/>
      <c r="B10" s="1"/>
      <c r="C10" s="1"/>
      <c r="D10" s="1"/>
      <c r="E10" s="1"/>
      <c r="F10" s="1"/>
      <c r="G10" s="1"/>
      <c r="H10" s="1"/>
      <c r="I10" s="1" t="str">
        <f>"Ricotta intera "&amp; ROUND(130*('🔥 Calcolatore'!I8/1911)*0.992582/5,0)*5 &amp;"g"&amp;"  |  ""Formaggio fresco "&amp; ROUND(160*('🔥 Calcolatore'!I8/1911)*0.992582/5,0)*5 &amp;"g"&amp;"  |  ""Crescenza "&amp; ROUND(135*('🔥 Calcolatore'!I8/1911)*0.992582/5,0)*5 &amp;"g"&amp;"  |  ""Fiocchi di latte "&amp; ROUND(100*('🔥 Calcolatore'!I8/1911)*0.992582/5,0)*5 &amp;"g + olio EVO 10g"&amp;"  |  ""Quark intero "&amp; ROUND(150*('🔥 Calcolatore'!I8/1911)*0.992582/5,0)*5 &amp;"g + olio EVO 8g"</f>
        <v>Ricotta intera 80g  |  "Formaggio fresco 100g  |  "Crescenza 85g  |  "Fiocchi di latte 65g + olio EVO 10g  |  "Quark intero 95g + olio EVO 8g</v>
      </c>
      <c r="J10" s="1"/>
      <c r="K10" s="1"/>
      <c r="L10" s="1"/>
      <c r="M10" s="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31.5" customHeight="1">
      <c r="A11" s="1"/>
      <c r="B11" s="146" t="s">
        <v>191</v>
      </c>
      <c r="C11" s="4"/>
      <c r="D11" s="4"/>
      <c r="E11" s="4"/>
      <c r="F11" s="4"/>
      <c r="G11" s="4"/>
      <c r="H11" s="4"/>
      <c r="I11" s="4"/>
      <c r="J11" s="4"/>
      <c r="K11" s="4"/>
      <c r="L11" s="1"/>
      <c r="M11" s="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21.75" customHeight="1">
      <c r="A12" s="1"/>
      <c r="B12" s="76" t="s">
        <v>192</v>
      </c>
      <c r="C12" s="4"/>
      <c r="D12" s="4"/>
      <c r="E12" s="4"/>
      <c r="F12" s="4"/>
      <c r="G12" s="4"/>
      <c r="H12" s="4"/>
      <c r="I12" s="4"/>
      <c r="J12" s="4"/>
      <c r="K12" s="4"/>
      <c r="L12" s="1"/>
      <c r="M12" s="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5.5" customHeight="1">
      <c r="A13" s="1"/>
      <c r="B13" s="118" t="s">
        <v>121</v>
      </c>
      <c r="C13" s="118" t="s">
        <v>122</v>
      </c>
      <c r="D13" s="118" t="s">
        <v>123</v>
      </c>
      <c r="E13" s="118" t="s">
        <v>124</v>
      </c>
      <c r="F13" s="118" t="s">
        <v>125</v>
      </c>
      <c r="G13" s="118" t="s">
        <v>126</v>
      </c>
      <c r="H13" s="1"/>
      <c r="I13" s="147" t="s">
        <v>127</v>
      </c>
      <c r="J13" s="1"/>
      <c r="K13" s="119" t="s">
        <v>128</v>
      </c>
      <c r="L13" s="1"/>
      <c r="M13" s="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63.75" customHeight="1">
      <c r="A14" s="1"/>
      <c r="B14" s="120" t="str">
        <f>"Uova intere ("&amp; MAX(1,ROUND(110*('🔥 Calcolatore'!I8/1911)*0.992582/55,0)) &amp;" uova)"</f>
        <v>Uova intere (1 uova)</v>
      </c>
      <c r="C14" s="121">
        <f>ROUND(110*(('🔥 Calcolatore'!I8/1911)*0.992582)/5,0)*5</f>
        <v>70</v>
      </c>
      <c r="D14" s="122">
        <f>ROUND(171*(('🔥 Calcolatore'!I8/1911)*0.992582),0)</f>
        <v>107</v>
      </c>
      <c r="E14" s="123">
        <f>ROUND(14.3*(('🔥 Calcolatore'!I8/1911)*0.992582),1)</f>
        <v>9</v>
      </c>
      <c r="F14" s="123">
        <f>ROUND(1.2*(('🔥 Calcolatore'!I8/1911)*0.992582),1)</f>
        <v>0.8</v>
      </c>
      <c r="G14" s="123">
        <f>ROUND(12.1*(('🔥 Calcolatore'!I8/1911)*0.992582),1)</f>
        <v>7.6</v>
      </c>
      <c r="H14" s="1"/>
      <c r="I14" s="83" t="str">
        <f>"Ricotta intera "&amp; ROUND(130*('🔥 Calcolatore'!I8/1911)*0.992582/5,0)*5 &amp;"g"&amp;"  |  ""Formaggio fresco "&amp; ROUND(160*('🔥 Calcolatore'!I8/1911)*0.992582/5,0)*5 &amp;"g"&amp;"  |  ""Crescenza "&amp; ROUND(135*('🔥 Calcolatore'!I8/1911)*0.992582/5,0)*5 &amp;"g"&amp;"  |  ""Stracchino "&amp; ROUND(175*('🔥 Calcolatore'!I8/1911)*0.992582/5,0)*5 &amp;"g"&amp;"  |  ""Quark intero "&amp; ROUND(150*('🔥 Calcolatore'!I8/1911)*0.992582/5,0)*5 &amp;"g + olio EVO 8g"&amp;"  |  ""Fiocchi di latte "&amp; ROUND(100*('🔥 Calcolatore'!I8/1911)*0.992582/5,0)*5 &amp;"g + olio EVO 10g"&amp;"  |  ""Prosciutto cotto "&amp; ROUND(110*('🔥 Calcolatore'!I8/1911)*0.992582/5,0)*5 &amp;"g + olio EVO 7g"&amp;"  |  ""Tonno al naturale "&amp; ROUND(100*('🔥 Calcolatore'!I8/1911)*0.992582/5,0)*5 &amp;"g + olio EVO 8g"&amp;"  |  ""Tacchino a fette "&amp; ROUND(100*('🔥 Calcolatore'!I8/1911)*0.992582/5,0)*5 &amp;"g + olio EVO 8g"&amp;"  |  ""Whey isolate "&amp; ROUND(25*('🔥 Calcolatore'!I8/1911)*0.992582/5,0)*5 &amp;"g + burro mandorle 12g"&amp;"  |  ""Salmone affumicato "&amp; ROUND(100*('🔥 Calcolatore'!I8/1911)*0.992582/5,0)*5 &amp;"g"&amp;"  |  ""Tacchino a fette "&amp; ROUND(90*('🔥 Calcolatore'!I8/1911)*0.992582/5,0)*5 &amp;"g + noci 15g"&amp;"  |  ""Bresaola "&amp; ROUND(60*('🔥 Calcolatore'!I8/1911)*0.992582/5,0)*5 &amp;"g + fondente 85% 15g"&amp;"  |  ""Sgombro al naturale "&amp; ROUND(120*('🔥 Calcolatore'!I8/1911)*0.992582/5,0)*5 &amp;"g"</f>
        <v>Ricotta intera 80g  |  "Formaggio fresco 100g  |  "Crescenza 85g  |  "Stracchino 110g  |  "Quark intero 95g + olio EVO 8g  |  "Fiocchi di latte 65g + olio EVO 10g  |  "Prosciutto cotto 70g + olio EVO 7g  |  "Tonno al naturale 65g + olio EVO 8g  |  "Tacchino a fette 65g + olio EVO 8g  |  "Whey isolate 15g + burro mandorle 12g  |  "Salmone affumicato 65g  |  "Tacchino a fette 55g + noci 15g  |  "Bresaola 40g + fondente 85% 15g  |  "Sgombro al naturale 75g</v>
      </c>
      <c r="J14" s="1"/>
      <c r="K14" s="84" t="str">
        <f>"Tofu strapazzato con curcuma "&amp; ROUND(150*('🔥 Calcolatore'!I8/1911)*0.992582/5,0)*5 &amp;"g"&amp;"  |  ""Frittata di ceci (farinata) "&amp; ROUND(130*('🔥 Calcolatore'!I8/1911)*0.992582/5,0)*5 &amp;"g"&amp;"  |  ""Tempeh a fette "&amp; ROUND(100*('🔥 Calcolatore'!I8/1911)*0.992582/5,0)*5 &amp;"g"&amp;"  |  ""Lupini sgusciati "&amp; ROUND(110*('🔥 Calcolatore'!I8/1911)*0.992582/5,0)*5 &amp;"g"&amp;"  |  ""Proteine vegane in polvere "&amp; ROUND(35*('🔥 Calcolatore'!I8/1911)*0.992582/5,0)*5 &amp;"g + latte vegetale 200ml"</f>
        <v>Tofu strapazzato con curcuma 95g  |  "Frittata di ceci (farinata) 80g  |  "Tempeh a fette 65g  |  "Lupini sgusciati 70g  |  "Proteine vegane in polvere 20g + latte vegetale 200ml</v>
      </c>
      <c r="L14" s="1"/>
      <c r="M14" s="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37.5" customHeight="1">
      <c r="A15" s="1"/>
      <c r="B15" s="88" t="s">
        <v>143</v>
      </c>
      <c r="C15" s="89">
        <f>ROUND(280*(('🔥 Calcolatore'!I8/1911)*0.992582)/5,0)*5</f>
        <v>175</v>
      </c>
      <c r="D15" s="90">
        <f>ROUND(322*(('🔥 Calcolatore'!I8/1911)*0.992582),0)</f>
        <v>202</v>
      </c>
      <c r="E15" s="91">
        <f>ROUND(67.2*(('🔥 Calcolatore'!I8/1911)*0.992582),1)</f>
        <v>42.2</v>
      </c>
      <c r="F15" s="91">
        <v>0.0</v>
      </c>
      <c r="G15" s="91">
        <f>ROUND(5.6*(('🔥 Calcolatore'!I8/1911)*0.992582),1)</f>
        <v>3.5</v>
      </c>
      <c r="H15" s="1"/>
      <c r="I15" s="83" t="str">
        <f>"Lonza di maiale magra "&amp;ROUND(215*(('🔥 Calcolatore'!I8/1911))*0.992582/5,0)*5&amp;"g"&amp;"  |  "&amp;"Fesa di vitello "&amp;ROUND(310*(('🔥 Calcolatore'!I8/1911))*0.992582/5,0)*5&amp;"g"&amp;"  |  "&amp;"Bistecca magra "&amp;ROUND(210*(('🔥 Calcolatore'!I8/1911))*0.992582/5,0)*5&amp;"g"&amp;"  |  "&amp;"Tonno al naturale "&amp;ROUND(315*(('🔥 Calcolatore'!I8/1911))*0.992582/5,0)*5&amp;"g"&amp;"  |  "&amp;"Gamberetti "&amp;ROUND(455*(('🔥 Calcolatore'!I8/1911))*0.992582/5,0)*5&amp;"g"&amp;"  |  "&amp;"Salmone al forno "&amp;ROUND(175*(('🔥 Calcolatore'!I8/1911))*0.992582/5,0)*5&amp;"g"&amp;"  |  "&amp;"Merluzzo "&amp;ROUND(445*(('🔥 Calcolatore'!I8/1911))*0.992582/5,0)*5&amp;"g"</f>
        <v>Lonza di maiale magra 135g  |  Fesa di vitello 195g  |  Bistecca magra 130g  |  Tonno al naturale 200g  |  Gamberetti 285g  |  Salmone al forno 110g  |  Merluzzo 280g</v>
      </c>
      <c r="J15" s="1"/>
      <c r="K15" s="84" t="str">
        <f>"Tofu compatto "&amp; ROUND(320*('🔥 Calcolatore'!I8/1911)*0.992582/5,0)*5 &amp;"g"&amp;"  |  ""Tempeh "&amp; ROUND(260*('🔥 Calcolatore'!I8/1911)*0.992582/5,0)*5 &amp;"g"&amp;"  |  ""Seitan "&amp; ROUND(240*('🔥 Calcolatore'!I8/1911)*0.992582/5,0)*5 &amp;"g"&amp;"  |  ""Legumi misti "&amp; ROUND(350*('🔥 Calcolatore'!I8/1911)*0.992582/5,0)*5 &amp;"g"</f>
        <v>Tofu compatto 200g  |  "Tempeh 165g  |  "Seitan 150g  |  "Legumi misti 220g</v>
      </c>
      <c r="L15" s="1"/>
      <c r="M15" s="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37.5" customHeight="1">
      <c r="A16" s="1"/>
      <c r="B16" s="120" t="s">
        <v>178</v>
      </c>
      <c r="C16" s="121">
        <f>ROUND(100*(('🔥 Calcolatore'!I8/1911)*0.992582)/5,0)*5</f>
        <v>65</v>
      </c>
      <c r="D16" s="122">
        <f>ROUND(360*(('🔥 Calcolatore'!I8/1911)*0.992582),0)</f>
        <v>226</v>
      </c>
      <c r="E16" s="123">
        <f>ROUND(8.1*(('🔥 Calcolatore'!I8/1911)*0.992582),1)</f>
        <v>5.1</v>
      </c>
      <c r="F16" s="123">
        <f>ROUND(77.5*(('🔥 Calcolatore'!I8/1911)*0.992582),1)</f>
        <v>48.7</v>
      </c>
      <c r="G16" s="123">
        <f>ROUND(1.3*(('🔥 Calcolatore'!I8/1911)*0.992582),1)</f>
        <v>0.8</v>
      </c>
      <c r="H16" s="1"/>
      <c r="I16" s="83" t="str">
        <f>"Pasta grano duro "&amp;ROUND(100*(('🔥 Calcolatore'!I8/1911))*0.992582/5,0)*5&amp;"g"&amp;"  |  "&amp;"Riso bianco "&amp;ROUND(105*(('🔥 Calcolatore'!I8/1911))*0.992582/5,0)*5&amp;"g"&amp;"  |  "&amp;"Gnocchi di patate "&amp;ROUND(270*(('🔥 Calcolatore'!I8/1911))*0.992582/5,0)*5&amp;"g"&amp;"  |  "&amp;"Farro "&amp;ROUND(105*(('🔥 Calcolatore'!I8/1911))*0.992582/5,0)*5&amp;"g"&amp;"  |  "&amp;"Orzo "&amp;ROUND(100*(('🔥 Calcolatore'!I8/1911))*0.992582/5,0)*5&amp;"g"&amp;"  |  "&amp;"Pane integrale "&amp;ROUND(155*(('🔥 Calcolatore'!I8/1911))*0.992582/5,0)*5&amp;"g"</f>
        <v>Pasta grano duro 65g  |  Riso bianco 65g  |  Gnocchi di patate 170g  |  Farro 65g  |  Orzo 65g  |  Pane integrale 95g</v>
      </c>
      <c r="J16" s="1"/>
      <c r="K16" s="84" t="str">
        <f>"Quinoa cotta "&amp; ROUND(120*('🔥 Calcolatore'!I8/1911)*0.992582/5,0)*5 &amp;"g"&amp;"  |  ""Pasta di ceci "&amp; ROUND(115*('🔥 Calcolatore'!I8/1911)*0.992582/5,0)*5 &amp;"g"&amp;"  |  ""Riso integrale "&amp; ROUND(125*('🔥 Calcolatore'!I8/1911)*0.992582/5,0)*5 &amp;"g"&amp;"  |  ""Bulgur "&amp; ROUND(120*('🔥 Calcolatore'!I8/1911)*0.992582/5,0)*5 &amp;"g"</f>
        <v>Quinoa cotta 75g  |  "Pasta di ceci 70g  |  "Riso integrale 80g  |  "Bulgur 75g</v>
      </c>
      <c r="L16" s="1"/>
      <c r="M16" s="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30.0" customHeight="1">
      <c r="A17" s="1"/>
      <c r="B17" s="88" t="s">
        <v>193</v>
      </c>
      <c r="C17" s="89">
        <f>ROUND(120*(('🔥 Calcolatore'!I8/1911)*0.992582)/5,0)*5</f>
        <v>75</v>
      </c>
      <c r="D17" s="90">
        <f>ROUND(132*(('🔥 Calcolatore'!I8/1911)*0.992582),0)</f>
        <v>83</v>
      </c>
      <c r="E17" s="91">
        <f>ROUND(9.6*(('🔥 Calcolatore'!I8/1911)*0.992582),1)</f>
        <v>6</v>
      </c>
      <c r="F17" s="91">
        <f>ROUND(21.6*(('🔥 Calcolatore'!I8/1911)*0.992582),1)</f>
        <v>13.6</v>
      </c>
      <c r="G17" s="91">
        <f>ROUND(0.6*(('🔥 Calcolatore'!I8/1911)*0.992582),1)</f>
        <v>0.4</v>
      </c>
      <c r="H17" s="1"/>
      <c r="I17" s="83" t="str">
        <f>"Fagioli borlotti cotti "&amp;ROUND(115*(('🔥 Calcolatore'!I8/1911))*0.992582/5,0)*5&amp;"g"&amp;"  |  "&amp;"Ceci cotti "&amp;ROUND(80*(('🔥 Calcolatore'!I8/1911))*0.992582/5,0)*5&amp;"g"&amp;"  |  "&amp;"Lenticchie cotte "&amp;ROUND(115*(('🔥 Calcolatore'!I8/1911))*0.992582/5,0)*5&amp;"g"&amp;"  |  "&amp;"Piselli "&amp;ROUND(160*(('🔥 Calcolatore'!I8/1911))*0.992582/5,0)*5&amp;"g"&amp;"  |  "&amp;"Edamame "&amp;ROUND(120*(('🔥 Calcolatore'!I8/1911))*0.992582/5,0)*5&amp;"g"</f>
        <v>Fagioli borlotti cotti 70g  |  Ceci cotti 50g  |  Lenticchie cotte 70g  |  Piselli 100g  |  Edamame 75g</v>
      </c>
      <c r="J17" s="1"/>
      <c r="K17" s="84" t="str">
        <f>"Fagioli neri "&amp; ROUND(200*('🔥 Calcolatore'!I8/1911)*0.992582/5,0)*5 &amp;"g"&amp;"  |  ""Lenticchie rosse "&amp; ROUND(150*('🔥 Calcolatore'!I8/1911)*0.992582/5,0)*5 &amp;"g"&amp;"  |  ""Ceci "&amp; ROUND(180*('🔥 Calcolatore'!I8/1911)*0.992582/5,0)*5 &amp;"g"</f>
        <v>Fagioli neri 125g  |  "Lenticchie rosse 95g  |  "Ceci 115g</v>
      </c>
      <c r="L17" s="1"/>
      <c r="M17" s="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37.5" customHeight="1">
      <c r="A18" s="1"/>
      <c r="B18" s="120" t="s">
        <v>194</v>
      </c>
      <c r="C18" s="121">
        <f>ROUND(350*(('🔥 Calcolatore'!I8/1911)*0.992582)/5,0)*5</f>
        <v>220</v>
      </c>
      <c r="D18" s="122">
        <f>ROUND(87*(('🔥 Calcolatore'!I8/1911)*0.992582),0)</f>
        <v>55</v>
      </c>
      <c r="E18" s="123">
        <f>ROUND(4.4*(('🔥 Calcolatore'!I8/1911)*0.992582),1)</f>
        <v>2.8</v>
      </c>
      <c r="F18" s="123">
        <f>ROUND(14*(('🔥 Calcolatore'!I8/1911)*0.992582),1)</f>
        <v>8.8</v>
      </c>
      <c r="G18" s="123">
        <f>ROUND(0.9*(('🔥 Calcolatore'!I8/1911)*0.992582),1)</f>
        <v>0.6</v>
      </c>
      <c r="H18" s="1"/>
      <c r="I18" s="83" t="str">
        <f>"Broccoli "&amp;ROUND(350*(('🔥 Calcolatore'!I8/1911))*0.992582/5,0)*5&amp;"g"&amp;"  |  "&amp;"Zucchine "&amp;ROUND(350*(('🔥 Calcolatore'!I8/1911))*0.992582/5,0)*5&amp;"g"&amp;"  |  "&amp;"Peperoni "&amp;ROUND(350*(('🔥 Calcolatore'!I8/1911))*0.992582/5,0)*5&amp;"g"&amp;"  |  "&amp;"Cavolfiore "&amp;ROUND(350*(('🔥 Calcolatore'!I8/1911))*0.992582/5,0)*5&amp;"g"&amp;"  |  "&amp;"Fagiolini "&amp;ROUND(350*(('🔥 Calcolatore'!I8/1911))*0.992582/5,0)*5&amp;"g"&amp;"  |  "&amp;"Asparagi "&amp;ROUND(350*(('🔥 Calcolatore'!I8/1911))*0.992582/5,0)*5&amp;"g"</f>
        <v>Broccoli 220g  |  Zucchine 220g  |  Peperoni 220g  |  Cavolfiore 220g  |  Fagiolini 220g  |  Asparagi 220g</v>
      </c>
      <c r="J18" s="1"/>
      <c r="K18" s="84" t="str">
        <f>"Verdure miste "&amp; ROUND(350*('🔥 Calcolatore'!I8/1911)*0.992582/5,0)*5 &amp;"g"</f>
        <v>Verdure miste 220g</v>
      </c>
      <c r="L18" s="1"/>
      <c r="M18" s="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30.0" customHeight="1">
      <c r="A19" s="1"/>
      <c r="B19" s="88" t="s">
        <v>146</v>
      </c>
      <c r="C19" s="89">
        <f>ROUND(10*(('🔥 Calcolatore'!I8/1911)*0.992582)/5,0)*5</f>
        <v>5</v>
      </c>
      <c r="D19" s="90">
        <f>ROUND(90*(('🔥 Calcolatore'!I8/1911)*0.992582),0)</f>
        <v>57</v>
      </c>
      <c r="E19" s="91">
        <f>ROUND(0*(('🔥 Calcolatore'!I8/1911)*0.992582),1)</f>
        <v>0</v>
      </c>
      <c r="F19" s="91">
        <f>ROUND(0*(('🔥 Calcolatore'!I8/1911)*0.992582),1)</f>
        <v>0</v>
      </c>
      <c r="G19" s="91">
        <f>ROUND(10*(('🔥 Calcolatore'!I8/1911)*0.992582),1)</f>
        <v>6.3</v>
      </c>
      <c r="H19" s="1"/>
      <c r="I19" s="83" t="str">
        <f>"Burro "&amp;ROUND(12*(('🔥 Calcolatore'!I8/1911))*0.992582/5,0)*5&amp;"g"&amp;"  |  "&amp;"Avocado "&amp;ROUND(55*(('🔥 Calcolatore'!I8/1911))*0.992582/5,0)*5&amp;"g"&amp;"  |  "&amp;"Olive "&amp;ROUND(80*(('🔥 Calcolatore'!I8/1911))*0.992582/5,0)*5&amp;"g"&amp;"  |  "&amp;"Parmigiano "&amp;ROUND(25*(('🔥 Calcolatore'!I8/1911))*0.992582/5,0)*5&amp;"g"</f>
        <v>Burro 10g  |  Avocado 35g  |  Olive 50g  |  Parmigiano 15g</v>
      </c>
      <c r="J19" s="1"/>
      <c r="K19" s="84" t="str">
        <f>"Avocado "&amp; ROUND(55*('🔥 Calcolatore'!I8/1911)*0.992582/5,0)*5 &amp;"g"&amp;"  |  ""Tahini "&amp; ROUND(14*('🔥 Calcolatore'!I8/1911)*0.992582/5,0)*5 &amp;"g"&amp;"  |  ""Olive "&amp; ROUND(40*('🔥 Calcolatore'!I8/1911)*0.992582/5,0)*5 &amp;"g"</f>
        <v>Avocado 35g  |  "Tahini 10g  |  "Olive 25g</v>
      </c>
      <c r="L19" s="1"/>
      <c r="M19" s="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30.0" customHeight="1">
      <c r="A20" s="1"/>
      <c r="B20" s="120" t="s">
        <v>195</v>
      </c>
      <c r="C20" s="21"/>
      <c r="D20" s="122">
        <v>0.0</v>
      </c>
      <c r="E20" s="123">
        <v>0.0</v>
      </c>
      <c r="F20" s="123">
        <v>0.0</v>
      </c>
      <c r="G20" s="123">
        <v>0.0</v>
      </c>
      <c r="H20" s="1"/>
      <c r="I20" s="83" t="s">
        <v>196</v>
      </c>
      <c r="J20" s="1"/>
      <c r="K20" s="84" t="s">
        <v>197</v>
      </c>
      <c r="L20" s="1"/>
      <c r="M20" s="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30.0" customHeight="1">
      <c r="A21" s="1"/>
      <c r="B21" s="148" t="s">
        <v>198</v>
      </c>
      <c r="C21" s="143"/>
      <c r="D21" s="149">
        <f t="shared" ref="D21:G21" si="1">SUM(D14:D20)</f>
        <v>730</v>
      </c>
      <c r="E21" s="150">
        <f t="shared" si="1"/>
        <v>65.1</v>
      </c>
      <c r="F21" s="150">
        <f t="shared" si="1"/>
        <v>71.9</v>
      </c>
      <c r="G21" s="150">
        <f t="shared" si="1"/>
        <v>19.2</v>
      </c>
      <c r="H21" s="1"/>
      <c r="I21" s="151" t="s">
        <v>199</v>
      </c>
      <c r="J21" s="1"/>
      <c r="K21" s="129" t="s">
        <v>200</v>
      </c>
      <c r="L21" s="1"/>
      <c r="M21" s="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25.5" customHeight="1">
      <c r="A23" s="1"/>
      <c r="B23" s="152" t="s">
        <v>201</v>
      </c>
      <c r="C23" s="145"/>
      <c r="D23" s="145"/>
      <c r="E23" s="145"/>
      <c r="F23" s="145"/>
      <c r="G23" s="145"/>
      <c r="H23" s="145"/>
      <c r="I23" s="145"/>
      <c r="J23" s="145"/>
      <c r="K23" s="145"/>
      <c r="L23" s="1"/>
      <c r="M23" s="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31.5" customHeight="1">
      <c r="A25" s="1"/>
      <c r="B25" s="153" t="s">
        <v>202</v>
      </c>
      <c r="C25" s="4"/>
      <c r="D25" s="4"/>
      <c r="E25" s="4"/>
      <c r="F25" s="4"/>
      <c r="G25" s="4"/>
      <c r="H25" s="4"/>
      <c r="I25" s="4"/>
      <c r="J25" s="4"/>
      <c r="K25" s="4"/>
      <c r="L25" s="1"/>
      <c r="M25" s="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1.75" customHeight="1">
      <c r="A26" s="1"/>
      <c r="B26" s="76" t="s">
        <v>203</v>
      </c>
      <c r="C26" s="4"/>
      <c r="D26" s="4"/>
      <c r="E26" s="4"/>
      <c r="F26" s="4"/>
      <c r="G26" s="4"/>
      <c r="H26" s="4"/>
      <c r="I26" s="4"/>
      <c r="J26" s="4"/>
      <c r="K26" s="4"/>
      <c r="L26" s="1"/>
      <c r="M26" s="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25.5" customHeight="1">
      <c r="A27" s="1"/>
      <c r="B27" s="118" t="s">
        <v>121</v>
      </c>
      <c r="C27" s="118" t="s">
        <v>122</v>
      </c>
      <c r="D27" s="118" t="s">
        <v>123</v>
      </c>
      <c r="E27" s="118" t="s">
        <v>124</v>
      </c>
      <c r="F27" s="118" t="s">
        <v>125</v>
      </c>
      <c r="G27" s="118" t="s">
        <v>126</v>
      </c>
      <c r="H27" s="1"/>
      <c r="I27" s="147" t="s">
        <v>127</v>
      </c>
      <c r="J27" s="1"/>
      <c r="K27" s="119" t="s">
        <v>128</v>
      </c>
      <c r="L27" s="1"/>
      <c r="M27" s="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57.0" customHeight="1">
      <c r="A28" s="1"/>
      <c r="B28" s="120" t="s">
        <v>204</v>
      </c>
      <c r="C28" s="121">
        <f>ROUND(200*(('🔥 Calcolatore'!I8/1911)*0.892523)/5,0)*5</f>
        <v>115</v>
      </c>
      <c r="D28" s="122">
        <f>ROUND(110*(('🔥 Calcolatore'!I8/1911)*0.892523),0)</f>
        <v>62</v>
      </c>
      <c r="E28" s="123">
        <f>ROUND(22*(('🔥 Calcolatore'!I8/1911)*0.892523),1)</f>
        <v>12.4</v>
      </c>
      <c r="F28" s="123">
        <f>ROUND(10*(('🔥 Calcolatore'!I8/1911)*0.892523),1)</f>
        <v>5.6</v>
      </c>
      <c r="G28" s="123">
        <f>ROUND(1*(('🔥 Calcolatore'!I8/1911)*0.892523),1)</f>
        <v>0.6</v>
      </c>
      <c r="H28" s="1"/>
      <c r="I28" s="83" t="str">
        <f>"Salmone fresco cotto "&amp;ROUND(145.15*(('🔥 Calcolatore'!I8/1911)*0.892523)/5,0)*5&amp;"g"&amp;"  |  "&amp;"Petto di pollo cotto "&amp;ROUND(94.74*(('🔥 Calcolatore'!I8/1911)*0.892523)/5,0)*5&amp;"g + olio EVO "&amp;ROUND(10.2*(('🔥 Calcolatore'!I8/1911)*0.892523)/5,0)*5&amp;"g"&amp;"  |  "&amp;"Fesa di tacchino "&amp;ROUND(122.75*(('🔥 Calcolatore'!I8/1911)*0.892523)/5,0)*5&amp;"g + olio EVO "&amp;ROUND(10.2*(('🔥 Calcolatore'!I8/1911)*0.892523)/5,0)*5&amp;"g"&amp;"  |  "&amp;"Bresaola "&amp;ROUND(89.13*(('🔥 Calcolatore'!I8/1911)*0.892523)/5,0)*5&amp;"g + olio EVO "&amp;ROUND(10.2*(('🔥 Calcolatore'!I8/1911)*0.892523)/5,0)*5&amp;"g"&amp;"  |  "&amp;"Tonno al naturale "&amp;ROUND(117.14*(('🔥 Calcolatore'!I8/1911)*0.892523)/5,0)*5&amp;"g + olio EVO "&amp;ROUND(10.2*(('🔥 Calcolatore'!I8/1911)*0.892523)/5,0)*5&amp;"g"&amp;"  |  "&amp;"Merluzzo lessato "&amp;ROUND(173.16*(('🔥 Calcolatore'!I8/1911)*0.892523)/5,0)*5&amp;"g + olio EVO "&amp;ROUND(10.2*(('🔥 Calcolatore'!I8/1911)*0.892523)/5,0)*5&amp;"g"&amp;"  |  "&amp;"Albumi cotti (≈8 albumi) "&amp;ROUND(262.8*(('🔥 Calcolatore'!I8/1911)*0.892523)/5,0)*5&amp;"g + olio EVO "&amp;ROUND(10.2*(('🔥 Calcolatore'!I8/1911)*0.892523)/5,0)*5&amp;"g"&amp;"  |  "&amp;"Prosciutto cotto magro "&amp;ROUND(161.96*(('🔥 Calcolatore'!I8/1911)*0.892523)/5,0)*5&amp;"g + olio EVO "&amp;ROUND(4.6*(('🔥 Calcolatore'!I8/1911)*0.892523)/5,0)*5&amp;"g"</f>
        <v>Salmone fresco cotto 80g  |  Petto di pollo cotto 55g + olio EVO 5g  |  Fesa di tacchino 70g + olio EVO 5g  |  Bresaola 50g + olio EVO 5g  |  Tonno al naturale 65g + olio EVO 5g  |  Merluzzo lessato 100g + olio EVO 5g  |  Albumi cotti (≈8 albumi) 150g + olio EVO 5g  |  Prosciutto cotto magro 90g + olio EVO 5g</v>
      </c>
      <c r="J28" s="1"/>
      <c r="K28" s="84" t="str">
        <f>"Yogurt soia proteico "&amp; ROUND(200*('🔥 Calcolatore'!I8/1911)*0.992582/5,0)*5 &amp;"g"&amp;"  |  ""Tofu silken "&amp; ROUND(200*('🔥 Calcolatore'!I8/1911)*0.992582/5,0)*5 &amp;"g"&amp;"  |  ""Kefir di soia "&amp; ROUND(250*('🔥 Calcolatore'!I8/1911)*0.992582/5,0)*5 &amp;"ml"</f>
        <v>Yogurt soia proteico 125g  |  "Tofu silken 125g  |  "Kefir di soia 155ml</v>
      </c>
      <c r="L28" s="1"/>
      <c r="M28" s="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37.5" customHeight="1">
      <c r="A29" s="31"/>
      <c r="B29" s="88" t="s">
        <v>136</v>
      </c>
      <c r="C29" s="89">
        <f>ROUND(30*(('🔥 Calcolatore'!I8/1911)*0.892523)/5,0)*5</f>
        <v>15</v>
      </c>
      <c r="D29" s="90">
        <f>ROUND(120*(('🔥 Calcolatore'!I8/1911)*0.892523),0)</f>
        <v>68</v>
      </c>
      <c r="E29" s="91">
        <f>ROUND(24*(('🔥 Calcolatore'!I8/1911)*0.892523),1)</f>
        <v>13.5</v>
      </c>
      <c r="F29" s="91">
        <f>ROUND(2*(('🔥 Calcolatore'!I8/1911)*0.892523),1)</f>
        <v>1.1</v>
      </c>
      <c r="G29" s="91">
        <f>ROUND(2*(('🔥 Calcolatore'!I8/1911)*0.892523),1)</f>
        <v>1.1</v>
      </c>
      <c r="H29" s="1"/>
      <c r="I29" s="92" t="str">
        <f>"Whey isolate "&amp; ROUND(30*('🔥 Calcolatore'!I8/1911)*0.992582/5,0)*5 &amp;"g (più pura, meno lattosio)"&amp;"  |  ""Whey concentrate "&amp; ROUND(32*('🔥 Calcolatore'!I8/1911)*0.992582/5,0)*5 &amp;"g"&amp;"  |  ""Caseina lento rilascio "&amp; ROUND(30*('🔥 Calcolatore'!I8/1911)*0.992582/5,0)*5 &amp;"g"&amp;"  |  ""Proteine dell'uovo "&amp; ROUND(28*('🔥 Calcolatore'!I8/1911)*0.992582/5,0)*5 &amp;"g"</f>
        <v>Whey isolate 20g (più pura, meno lattosio)  |  "Whey concentrate 20g  |  "Caseina lento rilascio 20g  |  "Proteine dell'uovo 20g</v>
      </c>
      <c r="J29" s="1"/>
      <c r="K29" s="93" t="str">
        <f>"Proteine di pisello "&amp; ROUND(30*('🔥 Calcolatore'!I8/1911)*0.992582/5,0)*5 &amp;"g"&amp;"  |  ""Proteine di riso integrale "&amp; ROUND(32*('🔥 Calcolatore'!I8/1911)*0.992582/5,0)*5 &amp;"g"&amp;"  |  ""Proteine di soia "&amp; ROUND(28*('🔥 Calcolatore'!I8/1911)*0.992582/5,0)*5 &amp;"g"</f>
        <v>Proteine di pisello 20g  |  "Proteine di riso integrale 20g  |  "Proteine di soia 20g</v>
      </c>
      <c r="L29" s="1"/>
      <c r="M29" s="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30.0" customHeight="1">
      <c r="A30" s="1"/>
      <c r="B30" s="88" t="s">
        <v>205</v>
      </c>
      <c r="C30" s="89">
        <f>ROUND(40*(('🔥 Calcolatore'!I8/1911)*0.892523)/5,0)*5</f>
        <v>25</v>
      </c>
      <c r="D30" s="90">
        <f>ROUND(240*(('🔥 Calcolatore'!I8/1911)*0.892523),0)</f>
        <v>135</v>
      </c>
      <c r="E30" s="91">
        <f>ROUND(6.8*(('🔥 Calcolatore'!I8/1911)*0.892523),1)</f>
        <v>3.8</v>
      </c>
      <c r="F30" s="91">
        <f>ROUND(6.8*(('🔥 Calcolatore'!I8/1911)*0.892523),1)</f>
        <v>3.8</v>
      </c>
      <c r="G30" s="91">
        <f>ROUND(21*(('🔥 Calcolatore'!I8/1911)*0.892523),1)</f>
        <v>11.9</v>
      </c>
      <c r="H30" s="1"/>
      <c r="I30" s="83" t="str">
        <f>"Anacardi "&amp;ROUND(45*(('🔥 Calcolatore'!I8/1911))*0.892523/5,0)*5&amp;"g"&amp;"  |  "&amp;"Arachidi "&amp;ROUND(40*(('🔥 Calcolatore'!I8/1911))*0.892523/5,0)*5&amp;"g"&amp;"  |  "&amp;"Nocciole "&amp;ROUND(40*(('🔥 Calcolatore'!I8/1911))*0.892523/5,0)*5&amp;"g"&amp;"  |  "&amp;"Noci macadamia "&amp;ROUND(35*(('🔥 Calcolatore'!I8/1911))*0.892523/5,0)*5&amp;"g"&amp;"  |  "&amp;"Semi di zucca "&amp;ROUND(45*(('🔥 Calcolatore'!I8/1911))*0.892523/5,0)*5&amp;"g"</f>
        <v>Anacardi 25g  |  Arachidi 25g  |  Nocciole 25g  |  Noci macadamia 20g  |  Semi di zucca 25g</v>
      </c>
      <c r="J30" s="1"/>
      <c r="K30" s="84" t="str">
        <f>"Mandorle "&amp; ROUND(25*('🔥 Calcolatore'!I8/1911)*0.992582/5,0)*5 &amp;"g"&amp;"  |  ""Noci "&amp; ROUND(20*('🔥 Calcolatore'!I8/1911)*0.992582/5,0)*5 &amp;"g"&amp;"  |  ""Pistacchi "&amp; ROUND(25*('🔥 Calcolatore'!I8/1911)*0.992582/5,0)*5 &amp;"g"</f>
        <v>Mandorle 15g  |  "Noci 15g  |  "Pistacchi 15g</v>
      </c>
      <c r="L30" s="1"/>
      <c r="M30" s="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37.5" customHeight="1">
      <c r="A31" s="1"/>
      <c r="B31" s="120" t="s">
        <v>206</v>
      </c>
      <c r="C31" s="121">
        <f>ROUND(180*(('🔥 Calcolatore'!I8/1911)*0.892523)/5,0)*5</f>
        <v>100</v>
      </c>
      <c r="D31" s="122">
        <f>ROUND(94*(('🔥 Calcolatore'!I8/1911)*0.892523),0)</f>
        <v>53</v>
      </c>
      <c r="E31" s="123">
        <f>ROUND(0.9*(('🔥 Calcolatore'!I8/1911)*0.892523),1)</f>
        <v>0.5</v>
      </c>
      <c r="F31" s="123">
        <f>ROUND(22.5*(('🔥 Calcolatore'!I8/1911)*0.892523),1)</f>
        <v>12.7</v>
      </c>
      <c r="G31" s="123">
        <f>ROUND(0.5*(('🔥 Calcolatore'!I8/1911)*0.892523),1)</f>
        <v>0.3</v>
      </c>
      <c r="H31" s="1"/>
      <c r="I31" s="83" t="str">
        <f>"Banana grande "&amp;ROUND(105*(('🔥 Calcolatore'!I8/1911))*0.892523/5,0)*5&amp;"g"&amp;"  |  "&amp;"Mela "&amp;ROUND(180*(('🔥 Calcolatore'!I8/1911))*0.892523/5,0)*5&amp;"g"&amp;"  |  "&amp;"Pera "&amp;ROUND(185*(('🔥 Calcolatore'!I8/1911))*0.892523/5,0)*5&amp;"g"&amp;"  |  "&amp;"Arancia "&amp;ROUND(215*(('🔥 Calcolatore'!I8/1911))*0.892523/5,0)*5&amp;"g"&amp;"  |  "&amp;"Kiwi 3 pz "&amp;ROUND(190*(('🔥 Calcolatore'!I8/1911))*0.892523/5,0)*5&amp;"g"</f>
        <v>Banana grande 60g  |  Mela 100g  |  Pera 105g  |  Arancia 120g  |  Kiwi 3 pz 105g</v>
      </c>
      <c r="J31" s="1"/>
      <c r="K31" s="84" t="str">
        <f>"Mela "&amp; ROUND(150*('🔥 Calcolatore'!I8/1911)*0.992582/5,0)*5 &amp;"g"&amp;"  |  ""Banana "&amp; ROUND(100*('🔥 Calcolatore'!I8/1911)*0.992582/5,0)*5 &amp;"g"&amp;"  |  ""Frutti di bosco "&amp; ROUND(120*('🔥 Calcolatore'!I8/1911)*0.992582/5,0)*5 &amp;"g"</f>
        <v>Mela 95g  |  "Banana 65g  |  "Frutti di bosco 75g</v>
      </c>
      <c r="L31" s="1"/>
      <c r="M31" s="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30.0" customHeight="1">
      <c r="A32" s="1"/>
      <c r="B32" s="124" t="s">
        <v>207</v>
      </c>
      <c r="C32" s="125"/>
      <c r="D32" s="90">
        <f>ROUND(198*(('🔥 Calcolatore'!I8/1911)*0.892523),0)</f>
        <v>112</v>
      </c>
      <c r="E32" s="91">
        <f>ROUND(7*(('🔥 Calcolatore'!I8/1911)*0.892523),1)</f>
        <v>4</v>
      </c>
      <c r="F32" s="91">
        <f>ROUND(38.5*(('🔥 Calcolatore'!I8/1911)*0.892523),1)</f>
        <v>21.7</v>
      </c>
      <c r="G32" s="91">
        <f>ROUND(3*(('🔥 Calcolatore'!I8/1911)*0.892523),1)</f>
        <v>1.7</v>
      </c>
      <c r="H32" s="1"/>
      <c r="I32" s="83" t="str">
        <f>"Gallette di riso 5 pz "&amp;ROUND(35*(('🔥 Calcolatore'!I8/1911))*0.892523/5,0)*5&amp;"g"&amp;"  |  "&amp;"Crackers integrali "&amp;ROUND(45*(('🔥 Calcolatore'!I8/1911))*0.892523/5,0)*5&amp;"g"&amp;"  |  "&amp;"Fette biscottate integrali "&amp;ROUND(40*(('🔥 Calcolatore'!I8/1911))*0.892523/5,0)*5&amp;"g"&amp;"  |  "&amp;"Avena "&amp;ROUND(40*(('🔥 Calcolatore'!I8/1911))*0.892523/5,0)*5&amp;"g"</f>
        <v>Gallette di riso 5 pz 20g  |  Crackers integrali 25g  |  Fette biscottate integrali 25g  |  Avena 25g</v>
      </c>
      <c r="J32" s="1"/>
      <c r="K32" s="84" t="str">
        <f>"Gallette di riso 5 pz"&amp;"  |  ""Crackers di farro "&amp; ROUND(50*('🔥 Calcolatore'!I8/1911)*0.992582/5,0)*5 &amp;"g"&amp;"  |  ""Pane di farro "&amp; ROUND(55*('🔥 Calcolatore'!I8/1911)*0.992582/5,0)*5 &amp;"g"</f>
        <v>Gallette di riso 5 pz  |  "Crackers di farro 30g  |  "Pane di farro 35g</v>
      </c>
      <c r="L32" s="1"/>
      <c r="M32" s="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0" customHeight="1">
      <c r="A33" s="1"/>
      <c r="B33" s="154" t="s">
        <v>156</v>
      </c>
      <c r="C33" s="155"/>
      <c r="D33" s="156">
        <f t="shared" ref="D33:G33" si="2">SUM(D28:D32)</f>
        <v>430</v>
      </c>
      <c r="E33" s="157">
        <f t="shared" si="2"/>
        <v>34.2</v>
      </c>
      <c r="F33" s="157">
        <f t="shared" si="2"/>
        <v>44.9</v>
      </c>
      <c r="G33" s="157">
        <f t="shared" si="2"/>
        <v>15.6</v>
      </c>
      <c r="H33" s="1"/>
      <c r="I33" s="158" t="s">
        <v>199</v>
      </c>
      <c r="J33" s="1"/>
      <c r="K33" s="129" t="s">
        <v>200</v>
      </c>
      <c r="L33" s="1"/>
      <c r="M33" s="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5.5" customHeight="1">
      <c r="A34" s="1"/>
      <c r="B34" s="58"/>
      <c r="C34" s="4"/>
      <c r="D34" s="4"/>
      <c r="E34" s="4"/>
      <c r="F34" s="4"/>
      <c r="G34" s="4"/>
      <c r="H34" s="4"/>
      <c r="I34" s="4"/>
      <c r="J34" s="4"/>
      <c r="K34" s="4"/>
      <c r="L34" s="1"/>
      <c r="M34" s="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0" customHeight="1">
      <c r="A35" s="1"/>
      <c r="B35" s="159" t="s">
        <v>208</v>
      </c>
      <c r="C35" s="160"/>
      <c r="D35" s="160"/>
      <c r="E35" s="160"/>
      <c r="F35" s="160"/>
      <c r="G35" s="160"/>
      <c r="H35" s="160"/>
      <c r="I35" s="160"/>
      <c r="J35" s="160"/>
      <c r="K35" s="160"/>
      <c r="L35" s="1"/>
      <c r="M35" s="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42.0" customHeight="1">
      <c r="A36" s="1"/>
      <c r="B36" s="58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33.75" customHeight="1">
      <c r="A37" s="1"/>
      <c r="B37" s="133" t="s">
        <v>163</v>
      </c>
      <c r="C37" s="104"/>
      <c r="D37" s="134">
        <f t="shared" ref="D37:E37" si="3">D21+D33</f>
        <v>1160</v>
      </c>
      <c r="E37" s="135">
        <f t="shared" si="3"/>
        <v>99.3</v>
      </c>
      <c r="F37" s="11"/>
      <c r="G37" s="104"/>
      <c r="H37" s="1"/>
      <c r="I37" s="1"/>
      <c r="J37" s="1"/>
      <c r="K37" s="1"/>
      <c r="L37" s="1"/>
      <c r="M37" s="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0" customHeight="1">
      <c r="A38" s="1"/>
      <c r="B38" s="107" t="s">
        <v>164</v>
      </c>
      <c r="C38" s="136"/>
      <c r="D38" s="137">
        <f>D37-'🔥 Calcolatore'!I8</f>
        <v>-48.78125</v>
      </c>
      <c r="E38" s="138" t="str">
        <f>IFERROR(IF(ABS(D37-'🔥 Calcolatore'!I8)&lt;120,"✅ Sei nel target",IF(D37&gt;'🔥 Calcolatore'!I8,"⚠️ Sopra il target","⬇️ Sotto il target")),"")</f>
        <v>✅ Sei nel target</v>
      </c>
      <c r="F38" s="136"/>
      <c r="G38" s="136"/>
      <c r="H38" s="1"/>
      <c r="I38" s="1"/>
      <c r="J38" s="1"/>
      <c r="K38" s="1"/>
      <c r="L38" s="1"/>
      <c r="M38" s="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60.0" customHeight="1">
      <c r="A39" s="1"/>
      <c r="B39" s="58"/>
      <c r="C39" s="4"/>
      <c r="D39" s="4"/>
      <c r="E39" s="4"/>
      <c r="F39" s="4"/>
      <c r="G39" s="4"/>
      <c r="H39" s="4"/>
      <c r="I39" s="4"/>
      <c r="J39" s="4"/>
      <c r="K39" s="4"/>
      <c r="L39" s="1"/>
      <c r="M39" s="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38.75" customHeight="1">
      <c r="A40" s="1"/>
      <c r="B40" s="139" t="s">
        <v>209</v>
      </c>
      <c r="C40" s="136"/>
      <c r="D40" s="136"/>
      <c r="E40" s="136"/>
      <c r="F40" s="136"/>
      <c r="G40" s="136"/>
      <c r="H40" s="136"/>
      <c r="I40" s="136"/>
      <c r="J40" s="136"/>
      <c r="K40" s="136"/>
      <c r="L40" s="1"/>
      <c r="M40" s="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K2"/>
    <mergeCell ref="B3:K3"/>
    <mergeCell ref="B5:K5"/>
    <mergeCell ref="B6:C6"/>
    <mergeCell ref="B9:K9"/>
    <mergeCell ref="B11:K11"/>
    <mergeCell ref="B12:K12"/>
    <mergeCell ref="B37:C37"/>
    <mergeCell ref="E37:G37"/>
    <mergeCell ref="B39:K39"/>
    <mergeCell ref="B21:C21"/>
    <mergeCell ref="B23:K23"/>
    <mergeCell ref="B25:K25"/>
    <mergeCell ref="B26:K26"/>
    <mergeCell ref="B32:C32"/>
    <mergeCell ref="B34:K34"/>
    <mergeCell ref="B36:C36"/>
  </mergeCells>
  <printOptions/>
  <pageMargins bottom="1.0" footer="0.0" header="0.0" left="0.75" right="0.75" top="1.0"/>
  <pageSetup paperSize="9" orientation="portrait"/>
  <drawing r:id="rId1"/>
</worksheet>
</file>